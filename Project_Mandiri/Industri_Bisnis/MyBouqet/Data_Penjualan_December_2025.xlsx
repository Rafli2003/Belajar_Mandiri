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<sst xmlns="http://schemas.openxmlformats.org/spreadsheetml/2006/main" count="110" uniqueCount="57">
  <si>
    <t>No</t>
  </si>
  <si>
    <t xml:space="preserve">Jenis </t>
  </si>
  <si>
    <t>Tipe</t>
  </si>
  <si>
    <t>Harga per-ukuran</t>
  </si>
  <si>
    <t>Harga 
per-satuan</t>
  </si>
  <si>
    <t>Industri: MyBouqet</t>
  </si>
  <si>
    <t>M</t>
  </si>
  <si>
    <t>L</t>
  </si>
  <si>
    <t>XL</t>
  </si>
  <si>
    <t>1.</t>
  </si>
  <si>
    <t>Bouqet</t>
  </si>
  <si>
    <t>Bunga</t>
  </si>
  <si>
    <t>-</t>
  </si>
  <si>
    <t>History pembelian bulan December:</t>
  </si>
  <si>
    <t>Boneka</t>
  </si>
  <si>
    <t>Nama Pelanggan</t>
  </si>
  <si>
    <t>Tanggal Pemesanan</t>
  </si>
  <si>
    <t>Hari</t>
  </si>
  <si>
    <t>Jenis Bouqet</t>
  </si>
  <si>
    <t>Jumlah</t>
  </si>
  <si>
    <t>Total</t>
  </si>
  <si>
    <t>Pipe</t>
  </si>
  <si>
    <t>S***</t>
  </si>
  <si>
    <t>18 December 2025</t>
  </si>
  <si>
    <t>Weekday</t>
  </si>
  <si>
    <t>Bouqet Kupu-kupu</t>
  </si>
  <si>
    <t>Kupu-kupu</t>
  </si>
  <si>
    <t>Ar****</t>
  </si>
  <si>
    <t>Bouqet Boneka Bunga</t>
  </si>
  <si>
    <t>Snack</t>
  </si>
  <si>
    <t>N****</t>
  </si>
  <si>
    <t>22 December 2025</t>
  </si>
  <si>
    <t>Bouqet Snack M</t>
  </si>
  <si>
    <t>Polaroid</t>
  </si>
  <si>
    <t>Bouqet Bunga XL</t>
  </si>
  <si>
    <t>Balon</t>
  </si>
  <si>
    <t>Al***</t>
  </si>
  <si>
    <t>23 December 2025</t>
  </si>
  <si>
    <t>Bouqet Bunga 1 tangkai</t>
  </si>
  <si>
    <t>Custom:</t>
  </si>
  <si>
    <t>R****</t>
  </si>
  <si>
    <t>25 December 2025</t>
  </si>
  <si>
    <t>Bouqet Bunga M</t>
  </si>
  <si>
    <t>bouqet Bunga 1 tangkai</t>
  </si>
  <si>
    <t>28 December 2025</t>
  </si>
  <si>
    <t>Weekend</t>
  </si>
  <si>
    <t>Bouqet Snack L</t>
  </si>
  <si>
    <t>bouqet Boneka Bunga</t>
  </si>
  <si>
    <t>C***</t>
  </si>
  <si>
    <t>30 December 2025</t>
  </si>
  <si>
    <t>Bouqet Polaroid M</t>
  </si>
  <si>
    <t>Az**</t>
  </si>
  <si>
    <t>31 December 2025</t>
  </si>
  <si>
    <t>Insight:</t>
  </si>
  <si>
    <t>SUM of Total</t>
  </si>
  <si>
    <t>SUM of Jumlah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</si>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</sst>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  <scheme val="minor"/>
    </font>
    <font/>
    <font>
      <color theme="1"/>
      <name val="Arial"/>
      <scheme val="minor"/>
    </font>
    <font>
      <b/>
      <sz val="2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readingOrder="0"/>
    </xf>
    <xf borderId="5" fillId="0" fontId="2" numFmtId="0" xfId="0" applyBorder="1" applyFont="1"/>
    <xf borderId="6" fillId="2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readingOrder="0"/>
    </xf>
    <xf borderId="6" fillId="0" fontId="3" numFmtId="3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7" fillId="0" fontId="2" numFmtId="0" xfId="0" applyBorder="1" applyFont="1"/>
    <xf borderId="6" fillId="3" fontId="3" numFmtId="0" xfId="0" applyAlignment="1" applyBorder="1" applyFill="1" applyFont="1">
      <alignment horizontal="center" readingOrder="0"/>
    </xf>
    <xf borderId="6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0" fillId="0" fontId="3" numFmtId="3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Comic Sans MS"/>
              </a:defRPr>
            </a:pPr>
            <a:r>
              <a:rPr b="0" sz="2400">
                <a:solidFill>
                  <a:srgbClr val="000000"/>
                </a:solidFill>
                <a:latin typeface="Comic Sans MS"/>
              </a:rPr>
              <a:t>Top 3 Pelanggan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0666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FFD96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A2C4C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6913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C27BA0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FFFFFF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Sheet1!$B$21:$B$27</c:f>
            </c:strRef>
          </c:cat>
          <c:val>
            <c:numRef>
              <c:f>Sheet1!$C$21:$C$27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25"/>
      </c:doughnutChart>
    </c:plotArea>
    <c:legend>
      <c:legendPos val="b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Comic Sans MS"/>
              </a:defRPr>
            </a:pPr>
            <a:r>
              <a:rPr b="0" sz="2400">
                <a:solidFill>
                  <a:srgbClr val="000000"/>
                </a:solidFill>
                <a:latin typeface="Comic Sans MS"/>
              </a:rPr>
              <a:t>Top Jenis Bouqet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B4A7D6">
                <a:alpha val="70196"/>
              </a:srgbClr>
            </a:solidFill>
            <a:ln cmpd="sng">
              <a:solidFill>
                <a:srgbClr val="FFFFFF">
                  <a:alpha val="100000"/>
                </a:srgbClr>
              </a:solidFill>
              <a:prstDash val="solid"/>
            </a:ln>
          </c:spPr>
          <c:cat>
            <c:strRef>
              <c:f>Sheet1!$J$20:$J$27</c:f>
            </c:strRef>
          </c:cat>
          <c:val>
            <c:numRef>
              <c:f>Sheet1!$K$20:$K$27</c:f>
              <c:numCache/>
            </c:numRef>
          </c:val>
        </c:ser>
        <c:axId val="639825958"/>
        <c:axId val="1195298791"/>
      </c:barChart>
      <c:catAx>
        <c:axId val="639825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omic Sans MS"/>
              </a:defRPr>
            </a:pPr>
          </a:p>
        </c:txPr>
        <c:crossAx val="1195298791"/>
      </c:catAx>
      <c:valAx>
        <c:axId val="1195298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omic Sans MS"/>
              </a:defRPr>
            </a:pPr>
          </a:p>
        </c:txPr>
        <c:crossAx val="6398259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Comic Sans MS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Comic Sans MS"/>
              </a:defRPr>
            </a:pPr>
            <a:r>
              <a:rPr b="0" sz="2400">
                <a:solidFill>
                  <a:srgbClr val="000000"/>
                </a:solidFill>
                <a:latin typeface="Comic Sans MS"/>
              </a:rPr>
              <a:t>Weekday vs Weekend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D5A6BD">
                <a:alpha val="70196"/>
              </a:srgbClr>
            </a:solidFill>
            <a:ln cmpd="sng">
              <a:solidFill>
                <a:srgbClr val="000000">
                  <a:alpha val="0"/>
                </a:srgbClr>
              </a:solidFill>
            </a:ln>
          </c:spPr>
          <c:cat>
            <c:strRef>
              <c:f>Sheet1!$B$45:$B$46</c:f>
            </c:strRef>
          </c:cat>
          <c:val>
            <c:numRef>
              <c:f>Sheet1!$C$45:$C$46</c:f>
              <c:numCache/>
            </c:numRef>
          </c:val>
        </c:ser>
        <c:axId val="1370117230"/>
        <c:axId val="884624811"/>
      </c:barChart>
      <c:catAx>
        <c:axId val="13701172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Hari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884624811"/>
      </c:catAx>
      <c:valAx>
        <c:axId val="8846248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 sz="1600">
                    <a:solidFill>
                      <a:srgbClr val="000000"/>
                    </a:solidFill>
                    <a:latin typeface="Comic Sans MS"/>
                  </a:rPr>
                  <a:t>Jumlah Pembelian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Comic Sans MS"/>
              </a:defRPr>
            </a:pPr>
          </a:p>
        </c:txPr>
        <c:crossAx val="137011723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17</xdr:row>
      <xdr:rowOff>161925</xdr:rowOff>
    </xdr:from>
    <xdr:ext cx="5314950" cy="422910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114300</xdr:colOff>
      <xdr:row>17</xdr:row>
      <xdr:rowOff>161925</xdr:rowOff>
    </xdr:from>
    <xdr:ext cx="6648450" cy="41052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76200</xdr:colOff>
      <xdr:row>41</xdr:row>
      <xdr:rowOff>161925</xdr:rowOff>
    </xdr:from>
    <xdr:ext cx="5543550" cy="3429000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4:N14" sheet="Sheet1"/>
  </cacheSource>
  <cacheFields>
    <cacheField name="Nama Pelanggan" numFmtId="0">
      <sharedItems containsBlank="1">
        <s v="S***"/>
        <s v="Ar****"/>
        <s v="N****"/>
        <s v="Al***"/>
        <m/>
        <s v="R****"/>
        <s v="C***"/>
        <s v="Az**"/>
      </sharedItems>
    </cacheField>
    <cacheField name="Tanggal Pemesanan" numFmtId="0">
      <sharedItems containsBlank="1">
        <s v="18 December 2025"/>
        <m/>
        <s v="22 December 2025"/>
        <s v="23 December 2025"/>
        <s v="25 December 2025"/>
        <s v="28 December 2025"/>
        <s v="30 December 2025"/>
        <s v="31 December 2025"/>
      </sharedItems>
    </cacheField>
    <cacheField name="Hari" numFmtId="0">
      <sharedItems containsBlank="1">
        <s v="Weekday"/>
        <m/>
        <s v="Weekend"/>
      </sharedItems>
    </cacheField>
    <cacheField name="Jenis Bouqet" numFmtId="0">
      <sharedItems>
        <s v="Bouqet Kupu-kupu"/>
        <s v="Bouqet Boneka Bunga"/>
        <s v="Bouqet Snack M"/>
        <s v="Bouqet Bunga XL"/>
        <s v="Bouqet Bunga 1 tangkai"/>
        <s v="Bouqet Bunga M"/>
        <s v="Bouqet Snack L"/>
        <s v="Bouqet Polaroid M"/>
      </sharedItems>
    </cacheField>
    <cacheField name="Jumlah" numFmtId="0">
      <sharedItems containsSemiMixedTypes="0" containsString="0" containsNumber="1" containsInteger="1">
        <n v="1.0"/>
        <n v="2.0"/>
      </sharedItems>
    </cacheField>
    <cacheField name="Total" numFmtId="0">
      <sharedItems containsString="0" containsBlank="1" containsNumber="1" containsInteger="1">
        <n v="50000.0"/>
        <n v="70000.0"/>
        <n v="100000.0"/>
        <n v="90000.0"/>
        <m/>
        <n v="40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" cacheId="0" dataCaption="" compact="0" compactData="0">
  <location ref="B19:C28" firstHeaderRow="0" firstDataRow="1" firstDataCol="0"/>
  <pivotFields>
    <pivotField name="Nama Pelanggan" axis="axisRow" compact="0" outline="0" multipleItemSelectionAllowed="1" showAll="0" sortType="ascending">
      <items>
        <item x="4"/>
        <item x="3"/>
        <item x="1"/>
        <item x="7"/>
        <item x="6"/>
        <item x="2"/>
        <item x="5"/>
        <item x="0"/>
        <item t="default"/>
      </items>
    </pivotField>
    <pivotField name="Tanggal Pemesan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i" compact="0" outline="0" multipleItemSelectionAllowed="1" showAll="0">
      <items>
        <item x="0"/>
        <item x="1"/>
        <item x="2"/>
        <item t="default"/>
      </items>
    </pivotField>
    <pivotField name="Jenis Bouqe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Jumlah" compact="0" outline="0" multipleItemSelectionAllowed="1" showAll="0">
      <items>
        <item x="0"/>
        <item x="1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</rowFields>
  <dataFields>
    <dataField name="SUM of Total" fld="5" baseField="0"/>
  </dataFields>
</pivotTableDefinition>
</file>

<file path=xl/pivotTables/pivotTable2.xml><?xml version="1.0" encoding="utf-8"?>
<pivotTableDefinition xmlns="http://schemas.openxmlformats.org/spreadsheetml/2006/main" name="Sheet1 2" cacheId="0" dataCaption="" compact="0" compactData="0">
  <location ref="J19:K28" firstHeaderRow="0" firstDataRow="1" firstDataCol="0"/>
  <pivotFields>
    <pivotField name="Nama Pelangg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anggal Pemesan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i" compact="0" outline="0" multipleItemSelectionAllowed="1" showAll="0">
      <items>
        <item x="0"/>
        <item x="1"/>
        <item x="2"/>
        <item t="default"/>
      </items>
    </pivotField>
    <pivotField name="Jenis Bouqet" axis="axisRow" compact="0" outline="0" multipleItemSelectionAllowed="1" showAll="0" sortType="ascending">
      <items>
        <item x="1"/>
        <item x="4"/>
        <item x="5"/>
        <item x="3"/>
        <item x="0"/>
        <item x="7"/>
        <item x="6"/>
        <item x="2"/>
        <item t="default"/>
      </items>
    </pivotField>
    <pivotField name="Jumlah" dataField="1" compact="0" outline="0" multipleItemSelectionAllowed="1" showAll="0">
      <items>
        <item x="0"/>
        <item x="1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dataFields>
    <dataField name="SUM of Jumlah" fld="4" baseField="0"/>
  </dataFields>
</pivotTableDefinition>
</file>

<file path=xl/pivotTables/pivotTable3.xml><?xml version="1.0" encoding="utf-8"?>
<pivotTableDefinition xmlns="http://schemas.openxmlformats.org/spreadsheetml/2006/main" name="Sheet1 3" cacheId="0" dataCaption="" compact="0" compactData="0">
  <location ref="B43:C47" firstHeaderRow="0" firstDataRow="1" firstDataCol="0"/>
  <pivotFields>
    <pivotField name="Nama Pelangg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anggal Pemesan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Hari" axis="axisRow" compact="0" outline="0" multipleItemSelectionAllowed="1" showAll="0" sortType="ascending">
      <items>
        <item x="1"/>
        <item x="0"/>
        <item x="2"/>
        <item t="default"/>
      </items>
    </pivotField>
    <pivotField name="Jenis Bouqe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Jumlah" dataField="1" compact="0" outline="0" multipleItemSelectionAllowed="1" showAll="0">
      <items>
        <item x="0"/>
        <item x="1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SUM of Jumlah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9.38"/>
    <col customWidth="1" min="9" max="9" width="19.13"/>
    <col customWidth="1" min="10" max="10" width="21.25"/>
    <col customWidth="1" min="11" max="11" width="14.25"/>
    <col customWidth="1" min="12" max="12" width="27.63"/>
    <col customWidth="1" min="16" max="16" width="2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4"/>
      <c r="G1" s="1" t="s">
        <v>4</v>
      </c>
      <c r="I1" s="5" t="s">
        <v>5</v>
      </c>
    </row>
    <row r="2">
      <c r="A2" s="6"/>
      <c r="B2" s="6"/>
      <c r="C2" s="6"/>
      <c r="D2" s="7" t="s">
        <v>6</v>
      </c>
      <c r="E2" s="7" t="s">
        <v>7</v>
      </c>
      <c r="F2" s="7" t="s">
        <v>8</v>
      </c>
      <c r="G2" s="6"/>
    </row>
    <row r="3">
      <c r="A3" s="8" t="s">
        <v>9</v>
      </c>
      <c r="B3" s="9" t="s">
        <v>10</v>
      </c>
      <c r="C3" s="10" t="s">
        <v>11</v>
      </c>
      <c r="D3" s="11">
        <v>50000.0</v>
      </c>
      <c r="E3" s="12" t="s">
        <v>12</v>
      </c>
      <c r="F3" s="11">
        <v>100000.0</v>
      </c>
      <c r="G3" s="12" t="s">
        <v>12</v>
      </c>
      <c r="I3" s="5" t="s">
        <v>13</v>
      </c>
    </row>
    <row r="4">
      <c r="A4" s="13"/>
      <c r="B4" s="13"/>
      <c r="C4" s="10" t="s">
        <v>14</v>
      </c>
      <c r="D4" s="12" t="s">
        <v>12</v>
      </c>
      <c r="E4" s="12" t="s">
        <v>12</v>
      </c>
      <c r="F4" s="12" t="s">
        <v>12</v>
      </c>
      <c r="G4" s="12" t="s">
        <v>12</v>
      </c>
      <c r="I4" s="14" t="s">
        <v>15</v>
      </c>
      <c r="J4" s="14" t="s">
        <v>16</v>
      </c>
      <c r="K4" s="14" t="s">
        <v>17</v>
      </c>
      <c r="L4" s="14" t="s">
        <v>18</v>
      </c>
      <c r="M4" s="14" t="s">
        <v>19</v>
      </c>
      <c r="N4" s="14" t="s">
        <v>20</v>
      </c>
    </row>
    <row r="5">
      <c r="A5" s="13"/>
      <c r="B5" s="13"/>
      <c r="C5" s="10" t="s">
        <v>21</v>
      </c>
      <c r="D5" s="12" t="s">
        <v>12</v>
      </c>
      <c r="E5" s="12" t="s">
        <v>12</v>
      </c>
      <c r="F5" s="12" t="s">
        <v>12</v>
      </c>
      <c r="G5" s="12" t="s">
        <v>12</v>
      </c>
      <c r="I5" s="12" t="s">
        <v>22</v>
      </c>
      <c r="J5" s="9" t="s">
        <v>23</v>
      </c>
      <c r="K5" s="9" t="s">
        <v>24</v>
      </c>
      <c r="L5" s="12" t="s">
        <v>25</v>
      </c>
      <c r="M5" s="12">
        <v>1.0</v>
      </c>
      <c r="N5" s="12">
        <f>M5*G6</f>
        <v>50000</v>
      </c>
    </row>
    <row r="6">
      <c r="A6" s="13"/>
      <c r="B6" s="13"/>
      <c r="C6" s="10" t="s">
        <v>26</v>
      </c>
      <c r="D6" s="12" t="s">
        <v>12</v>
      </c>
      <c r="E6" s="12" t="s">
        <v>12</v>
      </c>
      <c r="F6" s="12" t="s">
        <v>12</v>
      </c>
      <c r="G6" s="11">
        <v>50000.0</v>
      </c>
      <c r="I6" s="12" t="s">
        <v>27</v>
      </c>
      <c r="J6" s="6"/>
      <c r="K6" s="6"/>
      <c r="L6" s="12" t="s">
        <v>28</v>
      </c>
      <c r="M6" s="12">
        <v>1.0</v>
      </c>
      <c r="N6" s="15">
        <f>M6*D13</f>
        <v>70000</v>
      </c>
    </row>
    <row r="7">
      <c r="A7" s="13"/>
      <c r="B7" s="13"/>
      <c r="C7" s="10" t="s">
        <v>29</v>
      </c>
      <c r="D7" s="11">
        <v>50000.0</v>
      </c>
      <c r="E7" s="11">
        <v>70000.0</v>
      </c>
      <c r="F7" s="12" t="s">
        <v>12</v>
      </c>
      <c r="G7" s="12" t="s">
        <v>12</v>
      </c>
      <c r="I7" s="12" t="s">
        <v>30</v>
      </c>
      <c r="J7" s="9" t="s">
        <v>31</v>
      </c>
      <c r="K7" s="9" t="s">
        <v>24</v>
      </c>
      <c r="L7" s="12" t="s">
        <v>32</v>
      </c>
      <c r="M7" s="12">
        <v>1.0</v>
      </c>
      <c r="N7" s="15">
        <f>M7*D7</f>
        <v>50000</v>
      </c>
    </row>
    <row r="8">
      <c r="A8" s="13"/>
      <c r="B8" s="13"/>
      <c r="C8" s="10" t="s">
        <v>33</v>
      </c>
      <c r="D8" s="11">
        <v>40000.0</v>
      </c>
      <c r="E8" s="12" t="s">
        <v>12</v>
      </c>
      <c r="F8" s="12" t="s">
        <v>12</v>
      </c>
      <c r="G8" s="12" t="s">
        <v>12</v>
      </c>
      <c r="I8" s="12" t="s">
        <v>27</v>
      </c>
      <c r="J8" s="6"/>
      <c r="K8" s="6"/>
      <c r="L8" s="12" t="s">
        <v>34</v>
      </c>
      <c r="M8" s="12">
        <v>1.0</v>
      </c>
      <c r="N8" s="15">
        <f>M8*F3</f>
        <v>100000</v>
      </c>
    </row>
    <row r="9">
      <c r="A9" s="6"/>
      <c r="B9" s="6"/>
      <c r="C9" s="10" t="s">
        <v>35</v>
      </c>
      <c r="D9" s="12" t="s">
        <v>12</v>
      </c>
      <c r="E9" s="12" t="s">
        <v>12</v>
      </c>
      <c r="F9" s="12" t="s">
        <v>12</v>
      </c>
      <c r="G9" s="12" t="s">
        <v>12</v>
      </c>
      <c r="I9" s="9" t="s">
        <v>36</v>
      </c>
      <c r="J9" s="9" t="s">
        <v>37</v>
      </c>
      <c r="K9" s="9" t="s">
        <v>24</v>
      </c>
      <c r="L9" s="12" t="s">
        <v>28</v>
      </c>
      <c r="M9" s="12">
        <v>1.0</v>
      </c>
      <c r="N9" s="16">
        <f>(M9*D13)+(M10*D12)</f>
        <v>90000</v>
      </c>
    </row>
    <row r="10">
      <c r="I10" s="6"/>
      <c r="J10" s="6"/>
      <c r="K10" s="6"/>
      <c r="L10" s="12" t="s">
        <v>38</v>
      </c>
      <c r="M10" s="12">
        <v>2.0</v>
      </c>
      <c r="N10" s="6"/>
    </row>
    <row r="11">
      <c r="B11" s="5" t="s">
        <v>39</v>
      </c>
      <c r="I11" s="12" t="s">
        <v>40</v>
      </c>
      <c r="J11" s="12" t="s">
        <v>41</v>
      </c>
      <c r="K11" s="12" t="s">
        <v>24</v>
      </c>
      <c r="L11" s="12" t="s">
        <v>42</v>
      </c>
      <c r="M11" s="12">
        <v>1.0</v>
      </c>
      <c r="N11" s="15">
        <f>M11*D3</f>
        <v>50000</v>
      </c>
    </row>
    <row r="12">
      <c r="B12" s="5" t="s">
        <v>43</v>
      </c>
      <c r="D12" s="17">
        <v>10000.0</v>
      </c>
      <c r="I12" s="12" t="s">
        <v>30</v>
      </c>
      <c r="J12" s="12" t="s">
        <v>44</v>
      </c>
      <c r="K12" s="12" t="s">
        <v>45</v>
      </c>
      <c r="L12" s="12" t="s">
        <v>46</v>
      </c>
      <c r="M12" s="12">
        <v>1.0</v>
      </c>
      <c r="N12" s="15">
        <f>M12*E7</f>
        <v>70000</v>
      </c>
    </row>
    <row r="13">
      <c r="B13" s="5" t="s">
        <v>47</v>
      </c>
      <c r="D13" s="17">
        <v>70000.0</v>
      </c>
      <c r="I13" s="12" t="s">
        <v>48</v>
      </c>
      <c r="J13" s="12" t="s">
        <v>49</v>
      </c>
      <c r="K13" s="12" t="s">
        <v>24</v>
      </c>
      <c r="L13" s="12" t="s">
        <v>50</v>
      </c>
      <c r="M13" s="12">
        <v>1.0</v>
      </c>
      <c r="N13" s="15">
        <f>M13*D8</f>
        <v>40000</v>
      </c>
    </row>
    <row r="14">
      <c r="I14" s="12" t="s">
        <v>51</v>
      </c>
      <c r="J14" s="12" t="s">
        <v>52</v>
      </c>
      <c r="K14" s="12" t="s">
        <v>24</v>
      </c>
      <c r="L14" s="12" t="s">
        <v>42</v>
      </c>
      <c r="M14" s="12">
        <v>1.0</v>
      </c>
      <c r="N14" s="15">
        <f>M14*D3</f>
        <v>50000</v>
      </c>
    </row>
    <row r="17">
      <c r="B17" s="18" t="s">
        <v>53</v>
      </c>
    </row>
    <row r="19"/>
    <row r="20"/>
    <row r="21"/>
    <row r="22"/>
    <row r="23"/>
    <row r="24"/>
    <row r="25"/>
    <row r="26"/>
    <row r="27"/>
    <row r="28"/>
    <row r="43"/>
    <row r="44"/>
    <row r="45"/>
    <row r="46"/>
    <row r="47"/>
  </sheetData>
  <mergeCells count="15">
    <mergeCell ref="J5:J6"/>
    <mergeCell ref="K5:K6"/>
    <mergeCell ref="J7:J8"/>
    <mergeCell ref="K7:K8"/>
    <mergeCell ref="I9:I10"/>
    <mergeCell ref="J9:J10"/>
    <mergeCell ref="K9:K10"/>
    <mergeCell ref="N9:N10"/>
    <mergeCell ref="A1:A2"/>
    <mergeCell ref="B1:B2"/>
    <mergeCell ref="C1:C2"/>
    <mergeCell ref="D1:F1"/>
    <mergeCell ref="G1:G2"/>
    <mergeCell ref="A3:A9"/>
    <mergeCell ref="B3:B9"/>
  </mergeCells>
  <drawing r:id="rId4"/>
</worksheet>
</file>