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Belajar_Mandiri\Belajar Excel\"/>
    </mc:Choice>
  </mc:AlternateContent>
  <xr:revisionPtr revIDLastSave="0" documentId="13_ncr:1_{95ABE61F-C148-4373-9317-32A8D434E5A9}" xr6:coauthVersionLast="47" xr6:coauthVersionMax="47" xr10:uidLastSave="{00000000-0000-0000-0000-000000000000}"/>
  <bookViews>
    <workbookView xWindow="-120" yWindow="-120" windowWidth="29040" windowHeight="15720" activeTab="5" xr2:uid="{00000000-000D-0000-FFFF-FFFF00000000}"/>
  </bookViews>
  <sheets>
    <sheet name="Penjualan Dimsum" sheetId="1" r:id="rId1"/>
    <sheet name="Pivot Table" sheetId="2" r:id="rId2"/>
    <sheet name="VLOOKUP" sheetId="3" r:id="rId3"/>
    <sheet name="Data Bersih" sheetId="4" r:id="rId4"/>
    <sheet name="Analisis &amp; Forecasting" sheetId="5" r:id="rId5"/>
    <sheet name="Beautifiying Dashboard" sheetId="6" r:id="rId6"/>
  </sheets>
  <definedNames>
    <definedName name="_xlnm._FilterDatabase" localSheetId="3" hidden="1">'Data Bersih'!$A$1:$N$501</definedName>
    <definedName name="_xlnm._FilterDatabase" localSheetId="0" hidden="1">'Penjualan Dimsum'!$A$1:$K$501</definedName>
    <definedName name="Slicer_Bulan">#N/A</definedName>
    <definedName name="Slicer_Nama_Produk">#N/A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4" l="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B3" i="4"/>
  <c r="D3" i="4" s="1"/>
  <c r="B4" i="4"/>
  <c r="D4" i="4" s="1"/>
  <c r="B5" i="4"/>
  <c r="D5" i="4" s="1"/>
  <c r="B6" i="4"/>
  <c r="D6" i="4" s="1"/>
  <c r="B7" i="4"/>
  <c r="D7" i="4" s="1"/>
  <c r="B8" i="4"/>
  <c r="D8" i="4" s="1"/>
  <c r="B9" i="4"/>
  <c r="D9" i="4" s="1"/>
  <c r="B10" i="4"/>
  <c r="D10" i="4" s="1"/>
  <c r="B11" i="4"/>
  <c r="D11" i="4" s="1"/>
  <c r="B12" i="4"/>
  <c r="D12" i="4" s="1"/>
  <c r="B13" i="4"/>
  <c r="D13" i="4" s="1"/>
  <c r="B14" i="4"/>
  <c r="D14" i="4" s="1"/>
  <c r="B15" i="4"/>
  <c r="D15" i="4" s="1"/>
  <c r="B16" i="4"/>
  <c r="D16" i="4" s="1"/>
  <c r="B17" i="4"/>
  <c r="D17" i="4" s="1"/>
  <c r="B18" i="4"/>
  <c r="D18" i="4" s="1"/>
  <c r="B19" i="4"/>
  <c r="D19" i="4" s="1"/>
  <c r="B20" i="4"/>
  <c r="D20" i="4" s="1"/>
  <c r="B21" i="4"/>
  <c r="D21" i="4" s="1"/>
  <c r="B22" i="4"/>
  <c r="D22" i="4" s="1"/>
  <c r="B23" i="4"/>
  <c r="D23" i="4" s="1"/>
  <c r="B24" i="4"/>
  <c r="D24" i="4" s="1"/>
  <c r="B25" i="4"/>
  <c r="D25" i="4" s="1"/>
  <c r="B26" i="4"/>
  <c r="D26" i="4" s="1"/>
  <c r="B27" i="4"/>
  <c r="D27" i="4" s="1"/>
  <c r="B28" i="4"/>
  <c r="D28" i="4" s="1"/>
  <c r="B29" i="4"/>
  <c r="D29" i="4" s="1"/>
  <c r="B30" i="4"/>
  <c r="D30" i="4" s="1"/>
  <c r="B31" i="4"/>
  <c r="D31" i="4" s="1"/>
  <c r="B32" i="4"/>
  <c r="D32" i="4" s="1"/>
  <c r="B33" i="4"/>
  <c r="D33" i="4" s="1"/>
  <c r="B34" i="4"/>
  <c r="D34" i="4" s="1"/>
  <c r="B35" i="4"/>
  <c r="D35" i="4" s="1"/>
  <c r="B36" i="4"/>
  <c r="D36" i="4" s="1"/>
  <c r="B37" i="4"/>
  <c r="D37" i="4" s="1"/>
  <c r="B38" i="4"/>
  <c r="D38" i="4" s="1"/>
  <c r="B39" i="4"/>
  <c r="D39" i="4" s="1"/>
  <c r="B40" i="4"/>
  <c r="D40" i="4" s="1"/>
  <c r="B41" i="4"/>
  <c r="D41" i="4" s="1"/>
  <c r="B42" i="4"/>
  <c r="D42" i="4" s="1"/>
  <c r="B43" i="4"/>
  <c r="D43" i="4" s="1"/>
  <c r="B44" i="4"/>
  <c r="D44" i="4" s="1"/>
  <c r="B45" i="4"/>
  <c r="D45" i="4" s="1"/>
  <c r="B46" i="4"/>
  <c r="D46" i="4" s="1"/>
  <c r="B47" i="4"/>
  <c r="D47" i="4" s="1"/>
  <c r="B48" i="4"/>
  <c r="D48" i="4" s="1"/>
  <c r="B49" i="4"/>
  <c r="D49" i="4" s="1"/>
  <c r="B50" i="4"/>
  <c r="D50" i="4" s="1"/>
  <c r="B51" i="4"/>
  <c r="D51" i="4" s="1"/>
  <c r="B52" i="4"/>
  <c r="D52" i="4" s="1"/>
  <c r="B53" i="4"/>
  <c r="D53" i="4" s="1"/>
  <c r="B54" i="4"/>
  <c r="D54" i="4" s="1"/>
  <c r="B55" i="4"/>
  <c r="D55" i="4" s="1"/>
  <c r="B56" i="4"/>
  <c r="D56" i="4" s="1"/>
  <c r="B57" i="4"/>
  <c r="D57" i="4" s="1"/>
  <c r="B58" i="4"/>
  <c r="D58" i="4" s="1"/>
  <c r="B59" i="4"/>
  <c r="D59" i="4" s="1"/>
  <c r="B60" i="4"/>
  <c r="D60" i="4" s="1"/>
  <c r="B61" i="4"/>
  <c r="D61" i="4" s="1"/>
  <c r="B62" i="4"/>
  <c r="D62" i="4" s="1"/>
  <c r="B63" i="4"/>
  <c r="D63" i="4" s="1"/>
  <c r="B64" i="4"/>
  <c r="D64" i="4" s="1"/>
  <c r="B65" i="4"/>
  <c r="D65" i="4" s="1"/>
  <c r="B66" i="4"/>
  <c r="D66" i="4" s="1"/>
  <c r="B67" i="4"/>
  <c r="D67" i="4" s="1"/>
  <c r="B68" i="4"/>
  <c r="D68" i="4" s="1"/>
  <c r="B69" i="4"/>
  <c r="D69" i="4" s="1"/>
  <c r="B70" i="4"/>
  <c r="D70" i="4" s="1"/>
  <c r="B71" i="4"/>
  <c r="D71" i="4" s="1"/>
  <c r="B72" i="4"/>
  <c r="D72" i="4" s="1"/>
  <c r="B73" i="4"/>
  <c r="D73" i="4" s="1"/>
  <c r="B74" i="4"/>
  <c r="D74" i="4" s="1"/>
  <c r="B75" i="4"/>
  <c r="D75" i="4" s="1"/>
  <c r="B76" i="4"/>
  <c r="D76" i="4" s="1"/>
  <c r="B77" i="4"/>
  <c r="D77" i="4" s="1"/>
  <c r="B78" i="4"/>
  <c r="D78" i="4" s="1"/>
  <c r="B79" i="4"/>
  <c r="D79" i="4" s="1"/>
  <c r="B80" i="4"/>
  <c r="D80" i="4" s="1"/>
  <c r="B81" i="4"/>
  <c r="D81" i="4" s="1"/>
  <c r="B82" i="4"/>
  <c r="D82" i="4" s="1"/>
  <c r="B83" i="4"/>
  <c r="D83" i="4" s="1"/>
  <c r="B84" i="4"/>
  <c r="D84" i="4" s="1"/>
  <c r="B85" i="4"/>
  <c r="D85" i="4" s="1"/>
  <c r="B86" i="4"/>
  <c r="D86" i="4" s="1"/>
  <c r="B87" i="4"/>
  <c r="D87" i="4" s="1"/>
  <c r="B88" i="4"/>
  <c r="D88" i="4" s="1"/>
  <c r="B89" i="4"/>
  <c r="D89" i="4" s="1"/>
  <c r="B90" i="4"/>
  <c r="D90" i="4" s="1"/>
  <c r="B91" i="4"/>
  <c r="D91" i="4" s="1"/>
  <c r="B92" i="4"/>
  <c r="D92" i="4" s="1"/>
  <c r="B93" i="4"/>
  <c r="D93" i="4" s="1"/>
  <c r="B94" i="4"/>
  <c r="D94" i="4" s="1"/>
  <c r="B95" i="4"/>
  <c r="D95" i="4" s="1"/>
  <c r="B96" i="4"/>
  <c r="D96" i="4" s="1"/>
  <c r="B97" i="4"/>
  <c r="D97" i="4" s="1"/>
  <c r="B98" i="4"/>
  <c r="D98" i="4" s="1"/>
  <c r="B99" i="4"/>
  <c r="D99" i="4" s="1"/>
  <c r="B100" i="4"/>
  <c r="D100" i="4" s="1"/>
  <c r="B101" i="4"/>
  <c r="D101" i="4" s="1"/>
  <c r="B102" i="4"/>
  <c r="D102" i="4" s="1"/>
  <c r="B103" i="4"/>
  <c r="D103" i="4" s="1"/>
  <c r="B104" i="4"/>
  <c r="D104" i="4" s="1"/>
  <c r="B105" i="4"/>
  <c r="D105" i="4" s="1"/>
  <c r="B106" i="4"/>
  <c r="D106" i="4" s="1"/>
  <c r="B107" i="4"/>
  <c r="D107" i="4" s="1"/>
  <c r="B108" i="4"/>
  <c r="D108" i="4" s="1"/>
  <c r="B109" i="4"/>
  <c r="D109" i="4" s="1"/>
  <c r="B110" i="4"/>
  <c r="D110" i="4" s="1"/>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210" i="4"/>
  <c r="D210" i="4" s="1"/>
  <c r="B211" i="4"/>
  <c r="D211" i="4" s="1"/>
  <c r="B212" i="4"/>
  <c r="D212" i="4" s="1"/>
  <c r="B213" i="4"/>
  <c r="D213" i="4" s="1"/>
  <c r="B214" i="4"/>
  <c r="D214" i="4" s="1"/>
  <c r="B215" i="4"/>
  <c r="D215" i="4" s="1"/>
  <c r="B216" i="4"/>
  <c r="D216" i="4" s="1"/>
  <c r="B217" i="4"/>
  <c r="D217" i="4" s="1"/>
  <c r="B218" i="4"/>
  <c r="D218" i="4" s="1"/>
  <c r="B219" i="4"/>
  <c r="D219" i="4" s="1"/>
  <c r="B220" i="4"/>
  <c r="D220" i="4" s="1"/>
  <c r="B221" i="4"/>
  <c r="D221" i="4" s="1"/>
  <c r="B222" i="4"/>
  <c r="D222" i="4" s="1"/>
  <c r="B223" i="4"/>
  <c r="D223" i="4" s="1"/>
  <c r="B224" i="4"/>
  <c r="D224" i="4" s="1"/>
  <c r="B225" i="4"/>
  <c r="D225" i="4" s="1"/>
  <c r="B226" i="4"/>
  <c r="D226" i="4" s="1"/>
  <c r="B227" i="4"/>
  <c r="D227" i="4" s="1"/>
  <c r="B228" i="4"/>
  <c r="D228" i="4" s="1"/>
  <c r="B229" i="4"/>
  <c r="D229" i="4" s="1"/>
  <c r="B230" i="4"/>
  <c r="D230" i="4" s="1"/>
  <c r="B231" i="4"/>
  <c r="D231" i="4" s="1"/>
  <c r="B232" i="4"/>
  <c r="D232" i="4" s="1"/>
  <c r="B233" i="4"/>
  <c r="D233" i="4" s="1"/>
  <c r="B234" i="4"/>
  <c r="D234" i="4" s="1"/>
  <c r="B235" i="4"/>
  <c r="D235" i="4" s="1"/>
  <c r="B236" i="4"/>
  <c r="D236" i="4" s="1"/>
  <c r="B237" i="4"/>
  <c r="D237" i="4" s="1"/>
  <c r="B238" i="4"/>
  <c r="D238" i="4" s="1"/>
  <c r="B239" i="4"/>
  <c r="D239" i="4" s="1"/>
  <c r="B240" i="4"/>
  <c r="D240" i="4" s="1"/>
  <c r="B241" i="4"/>
  <c r="D241" i="4" s="1"/>
  <c r="B242" i="4"/>
  <c r="D242" i="4" s="1"/>
  <c r="B243" i="4"/>
  <c r="D243" i="4" s="1"/>
  <c r="B244" i="4"/>
  <c r="D244" i="4" s="1"/>
  <c r="B245" i="4"/>
  <c r="D245" i="4" s="1"/>
  <c r="B246" i="4"/>
  <c r="D246" i="4" s="1"/>
  <c r="B247" i="4"/>
  <c r="D247" i="4" s="1"/>
  <c r="B248" i="4"/>
  <c r="D248" i="4" s="1"/>
  <c r="B249" i="4"/>
  <c r="D249" i="4" s="1"/>
  <c r="B250" i="4"/>
  <c r="D250" i="4" s="1"/>
  <c r="B251" i="4"/>
  <c r="D251" i="4" s="1"/>
  <c r="B252" i="4"/>
  <c r="D252" i="4" s="1"/>
  <c r="B253" i="4"/>
  <c r="D253" i="4" s="1"/>
  <c r="B254" i="4"/>
  <c r="D254" i="4" s="1"/>
  <c r="B255" i="4"/>
  <c r="D255" i="4" s="1"/>
  <c r="B256" i="4"/>
  <c r="D256" i="4" s="1"/>
  <c r="B257" i="4"/>
  <c r="D257" i="4" s="1"/>
  <c r="B258" i="4"/>
  <c r="D258" i="4" s="1"/>
  <c r="B259" i="4"/>
  <c r="D259" i="4" s="1"/>
  <c r="B260" i="4"/>
  <c r="D260" i="4" s="1"/>
  <c r="B261" i="4"/>
  <c r="D261" i="4" s="1"/>
  <c r="B262" i="4"/>
  <c r="D262" i="4" s="1"/>
  <c r="B263" i="4"/>
  <c r="D263" i="4" s="1"/>
  <c r="B264" i="4"/>
  <c r="D264" i="4" s="1"/>
  <c r="B265" i="4"/>
  <c r="D265" i="4" s="1"/>
  <c r="B266" i="4"/>
  <c r="D266" i="4" s="1"/>
  <c r="B267" i="4"/>
  <c r="D267" i="4" s="1"/>
  <c r="B268" i="4"/>
  <c r="D268" i="4" s="1"/>
  <c r="B269" i="4"/>
  <c r="D269" i="4" s="1"/>
  <c r="B270" i="4"/>
  <c r="D270" i="4" s="1"/>
  <c r="B271" i="4"/>
  <c r="D271" i="4" s="1"/>
  <c r="B272" i="4"/>
  <c r="D272" i="4" s="1"/>
  <c r="B273" i="4"/>
  <c r="D273" i="4" s="1"/>
  <c r="B274" i="4"/>
  <c r="D274" i="4" s="1"/>
  <c r="B275" i="4"/>
  <c r="D275" i="4" s="1"/>
  <c r="B276" i="4"/>
  <c r="D276" i="4" s="1"/>
  <c r="B277" i="4"/>
  <c r="D277" i="4" s="1"/>
  <c r="B278" i="4"/>
  <c r="D278" i="4" s="1"/>
  <c r="B279" i="4"/>
  <c r="D279" i="4" s="1"/>
  <c r="B280" i="4"/>
  <c r="D280" i="4" s="1"/>
  <c r="B281" i="4"/>
  <c r="D281" i="4" s="1"/>
  <c r="B282" i="4"/>
  <c r="D282" i="4" s="1"/>
  <c r="B283" i="4"/>
  <c r="D283" i="4" s="1"/>
  <c r="B284" i="4"/>
  <c r="D284" i="4" s="1"/>
  <c r="B285" i="4"/>
  <c r="D285" i="4" s="1"/>
  <c r="B286" i="4"/>
  <c r="D286" i="4" s="1"/>
  <c r="B287" i="4"/>
  <c r="D287" i="4" s="1"/>
  <c r="B288" i="4"/>
  <c r="D288" i="4" s="1"/>
  <c r="B289" i="4"/>
  <c r="D289" i="4" s="1"/>
  <c r="B290" i="4"/>
  <c r="D290" i="4" s="1"/>
  <c r="B291" i="4"/>
  <c r="D291" i="4" s="1"/>
  <c r="B292" i="4"/>
  <c r="D292" i="4" s="1"/>
  <c r="B293" i="4"/>
  <c r="D293" i="4" s="1"/>
  <c r="B294" i="4"/>
  <c r="D294" i="4" s="1"/>
  <c r="B295" i="4"/>
  <c r="D295" i="4" s="1"/>
  <c r="B296" i="4"/>
  <c r="D296" i="4" s="1"/>
  <c r="B297" i="4"/>
  <c r="D297" i="4" s="1"/>
  <c r="B298" i="4"/>
  <c r="D298" i="4" s="1"/>
  <c r="B299" i="4"/>
  <c r="D299" i="4" s="1"/>
  <c r="B300" i="4"/>
  <c r="D300" i="4" s="1"/>
  <c r="B301" i="4"/>
  <c r="D301" i="4" s="1"/>
  <c r="B302" i="4"/>
  <c r="D302" i="4" s="1"/>
  <c r="B303" i="4"/>
  <c r="D303" i="4" s="1"/>
  <c r="B304" i="4"/>
  <c r="D304" i="4" s="1"/>
  <c r="B305" i="4"/>
  <c r="D305" i="4" s="1"/>
  <c r="B306" i="4"/>
  <c r="D306" i="4" s="1"/>
  <c r="B307" i="4"/>
  <c r="D307" i="4" s="1"/>
  <c r="B308" i="4"/>
  <c r="D308" i="4" s="1"/>
  <c r="B309" i="4"/>
  <c r="D309" i="4" s="1"/>
  <c r="B310" i="4"/>
  <c r="D310" i="4" s="1"/>
  <c r="B311" i="4"/>
  <c r="D311" i="4" s="1"/>
  <c r="B312" i="4"/>
  <c r="D312" i="4" s="1"/>
  <c r="B313" i="4"/>
  <c r="D313" i="4" s="1"/>
  <c r="B314" i="4"/>
  <c r="D314" i="4" s="1"/>
  <c r="B315" i="4"/>
  <c r="D315" i="4" s="1"/>
  <c r="B316" i="4"/>
  <c r="D316" i="4" s="1"/>
  <c r="B317" i="4"/>
  <c r="D317" i="4" s="1"/>
  <c r="B318" i="4"/>
  <c r="D318" i="4" s="1"/>
  <c r="B319" i="4"/>
  <c r="D319" i="4" s="1"/>
  <c r="B320" i="4"/>
  <c r="D320" i="4" s="1"/>
  <c r="B321" i="4"/>
  <c r="D321" i="4" s="1"/>
  <c r="B322" i="4"/>
  <c r="D322" i="4" s="1"/>
  <c r="B323" i="4"/>
  <c r="D323" i="4" s="1"/>
  <c r="B324" i="4"/>
  <c r="D324" i="4" s="1"/>
  <c r="B325" i="4"/>
  <c r="D325" i="4" s="1"/>
  <c r="B326" i="4"/>
  <c r="D326" i="4" s="1"/>
  <c r="B327" i="4"/>
  <c r="D327" i="4" s="1"/>
  <c r="B328" i="4"/>
  <c r="D328" i="4" s="1"/>
  <c r="B329" i="4"/>
  <c r="D329" i="4" s="1"/>
  <c r="B330" i="4"/>
  <c r="D330" i="4" s="1"/>
  <c r="B331" i="4"/>
  <c r="D331" i="4" s="1"/>
  <c r="B332" i="4"/>
  <c r="D332" i="4" s="1"/>
  <c r="B333" i="4"/>
  <c r="D333" i="4" s="1"/>
  <c r="B334" i="4"/>
  <c r="D334" i="4" s="1"/>
  <c r="B335" i="4"/>
  <c r="D335" i="4" s="1"/>
  <c r="B336" i="4"/>
  <c r="D336" i="4" s="1"/>
  <c r="B337" i="4"/>
  <c r="D337" i="4" s="1"/>
  <c r="B338" i="4"/>
  <c r="D338" i="4" s="1"/>
  <c r="B339" i="4"/>
  <c r="D339" i="4" s="1"/>
  <c r="B340" i="4"/>
  <c r="D340" i="4" s="1"/>
  <c r="B341" i="4"/>
  <c r="D341" i="4" s="1"/>
  <c r="B342" i="4"/>
  <c r="D342" i="4" s="1"/>
  <c r="B343" i="4"/>
  <c r="D343" i="4" s="1"/>
  <c r="B344" i="4"/>
  <c r="D344" i="4" s="1"/>
  <c r="B345" i="4"/>
  <c r="D345" i="4" s="1"/>
  <c r="B346" i="4"/>
  <c r="D346" i="4" s="1"/>
  <c r="B347" i="4"/>
  <c r="D347" i="4" s="1"/>
  <c r="B348" i="4"/>
  <c r="D348" i="4" s="1"/>
  <c r="B349" i="4"/>
  <c r="D349" i="4" s="1"/>
  <c r="B350" i="4"/>
  <c r="D350" i="4" s="1"/>
  <c r="B351" i="4"/>
  <c r="D351" i="4" s="1"/>
  <c r="B352" i="4"/>
  <c r="D352" i="4" s="1"/>
  <c r="B353" i="4"/>
  <c r="D353" i="4" s="1"/>
  <c r="B354" i="4"/>
  <c r="D354" i="4" s="1"/>
  <c r="B355" i="4"/>
  <c r="D355" i="4" s="1"/>
  <c r="B356" i="4"/>
  <c r="D356" i="4" s="1"/>
  <c r="B357" i="4"/>
  <c r="D357" i="4" s="1"/>
  <c r="B358" i="4"/>
  <c r="D358" i="4" s="1"/>
  <c r="B359" i="4"/>
  <c r="D359" i="4" s="1"/>
  <c r="B360" i="4"/>
  <c r="D360" i="4" s="1"/>
  <c r="B361" i="4"/>
  <c r="D361" i="4" s="1"/>
  <c r="B362" i="4"/>
  <c r="D362" i="4" s="1"/>
  <c r="B363" i="4"/>
  <c r="D363" i="4" s="1"/>
  <c r="B364" i="4"/>
  <c r="D364" i="4" s="1"/>
  <c r="B365" i="4"/>
  <c r="D365" i="4" s="1"/>
  <c r="B366" i="4"/>
  <c r="D366" i="4" s="1"/>
  <c r="B367" i="4"/>
  <c r="D367" i="4" s="1"/>
  <c r="B368" i="4"/>
  <c r="D368" i="4" s="1"/>
  <c r="B369" i="4"/>
  <c r="D369" i="4" s="1"/>
  <c r="B370" i="4"/>
  <c r="D370" i="4" s="1"/>
  <c r="B371" i="4"/>
  <c r="D371" i="4" s="1"/>
  <c r="B372" i="4"/>
  <c r="D372" i="4" s="1"/>
  <c r="B373" i="4"/>
  <c r="D373" i="4" s="1"/>
  <c r="B374" i="4"/>
  <c r="D374" i="4" s="1"/>
  <c r="B375" i="4"/>
  <c r="D375" i="4" s="1"/>
  <c r="B376" i="4"/>
  <c r="D376" i="4" s="1"/>
  <c r="B377" i="4"/>
  <c r="D377" i="4" s="1"/>
  <c r="B378" i="4"/>
  <c r="D378" i="4" s="1"/>
  <c r="B379" i="4"/>
  <c r="D379" i="4" s="1"/>
  <c r="B380" i="4"/>
  <c r="D380" i="4" s="1"/>
  <c r="B381" i="4"/>
  <c r="D381" i="4" s="1"/>
  <c r="B382" i="4"/>
  <c r="D382" i="4" s="1"/>
  <c r="B383" i="4"/>
  <c r="D383" i="4" s="1"/>
  <c r="B384" i="4"/>
  <c r="D384" i="4" s="1"/>
  <c r="B385" i="4"/>
  <c r="D385" i="4" s="1"/>
  <c r="B386" i="4"/>
  <c r="D386" i="4" s="1"/>
  <c r="B387" i="4"/>
  <c r="D387" i="4" s="1"/>
  <c r="B388" i="4"/>
  <c r="D388" i="4" s="1"/>
  <c r="B389" i="4"/>
  <c r="D389" i="4" s="1"/>
  <c r="B390" i="4"/>
  <c r="D390" i="4" s="1"/>
  <c r="B391" i="4"/>
  <c r="D391" i="4" s="1"/>
  <c r="B392" i="4"/>
  <c r="D392" i="4" s="1"/>
  <c r="B393" i="4"/>
  <c r="D393" i="4" s="1"/>
  <c r="B394" i="4"/>
  <c r="D394" i="4" s="1"/>
  <c r="B395" i="4"/>
  <c r="D395" i="4" s="1"/>
  <c r="B396" i="4"/>
  <c r="D396" i="4" s="1"/>
  <c r="B397" i="4"/>
  <c r="D397" i="4" s="1"/>
  <c r="B398" i="4"/>
  <c r="D398" i="4" s="1"/>
  <c r="B399" i="4"/>
  <c r="D399" i="4" s="1"/>
  <c r="B400" i="4"/>
  <c r="D400" i="4" s="1"/>
  <c r="B401" i="4"/>
  <c r="D401" i="4" s="1"/>
  <c r="B402" i="4"/>
  <c r="D402" i="4" s="1"/>
  <c r="B403" i="4"/>
  <c r="D403" i="4" s="1"/>
  <c r="B404" i="4"/>
  <c r="D404" i="4" s="1"/>
  <c r="B405" i="4"/>
  <c r="D405" i="4" s="1"/>
  <c r="B406" i="4"/>
  <c r="D406" i="4" s="1"/>
  <c r="B407" i="4"/>
  <c r="D407" i="4" s="1"/>
  <c r="B408" i="4"/>
  <c r="D408" i="4" s="1"/>
  <c r="B409" i="4"/>
  <c r="D409" i="4" s="1"/>
  <c r="B410" i="4"/>
  <c r="D410" i="4" s="1"/>
  <c r="B411" i="4"/>
  <c r="D411" i="4" s="1"/>
  <c r="B412" i="4"/>
  <c r="D412" i="4" s="1"/>
  <c r="B413" i="4"/>
  <c r="D413" i="4" s="1"/>
  <c r="B414" i="4"/>
  <c r="D414" i="4" s="1"/>
  <c r="B415" i="4"/>
  <c r="D415" i="4" s="1"/>
  <c r="B416" i="4"/>
  <c r="D416" i="4" s="1"/>
  <c r="B417" i="4"/>
  <c r="D417" i="4" s="1"/>
  <c r="B418" i="4"/>
  <c r="D418" i="4" s="1"/>
  <c r="B419" i="4"/>
  <c r="D419" i="4" s="1"/>
  <c r="B420" i="4"/>
  <c r="D420" i="4" s="1"/>
  <c r="B421" i="4"/>
  <c r="D421" i="4" s="1"/>
  <c r="B422" i="4"/>
  <c r="D422" i="4" s="1"/>
  <c r="B423" i="4"/>
  <c r="D423" i="4" s="1"/>
  <c r="B424" i="4"/>
  <c r="D424" i="4" s="1"/>
  <c r="B425" i="4"/>
  <c r="D425" i="4" s="1"/>
  <c r="B426" i="4"/>
  <c r="D426" i="4" s="1"/>
  <c r="B427" i="4"/>
  <c r="D427" i="4" s="1"/>
  <c r="B428" i="4"/>
  <c r="D428" i="4" s="1"/>
  <c r="B429" i="4"/>
  <c r="D429" i="4" s="1"/>
  <c r="B430" i="4"/>
  <c r="D430" i="4" s="1"/>
  <c r="B431" i="4"/>
  <c r="D431" i="4" s="1"/>
  <c r="B432" i="4"/>
  <c r="D432" i="4" s="1"/>
  <c r="B433" i="4"/>
  <c r="D433" i="4" s="1"/>
  <c r="B434" i="4"/>
  <c r="D434" i="4" s="1"/>
  <c r="B435" i="4"/>
  <c r="D435" i="4" s="1"/>
  <c r="B436" i="4"/>
  <c r="D436" i="4" s="1"/>
  <c r="B437" i="4"/>
  <c r="D437" i="4" s="1"/>
  <c r="B438" i="4"/>
  <c r="D438" i="4" s="1"/>
  <c r="B439" i="4"/>
  <c r="D439" i="4" s="1"/>
  <c r="B440" i="4"/>
  <c r="D440" i="4" s="1"/>
  <c r="B441" i="4"/>
  <c r="D441" i="4" s="1"/>
  <c r="B442" i="4"/>
  <c r="D442" i="4" s="1"/>
  <c r="B443" i="4"/>
  <c r="D443" i="4" s="1"/>
  <c r="B444" i="4"/>
  <c r="D444" i="4" s="1"/>
  <c r="B445" i="4"/>
  <c r="D445" i="4" s="1"/>
  <c r="B446" i="4"/>
  <c r="D446" i="4" s="1"/>
  <c r="B447" i="4"/>
  <c r="D447" i="4" s="1"/>
  <c r="B448" i="4"/>
  <c r="D448" i="4" s="1"/>
  <c r="B449" i="4"/>
  <c r="D449" i="4" s="1"/>
  <c r="B450" i="4"/>
  <c r="D450" i="4" s="1"/>
  <c r="B451" i="4"/>
  <c r="D451" i="4" s="1"/>
  <c r="B452" i="4"/>
  <c r="D452" i="4" s="1"/>
  <c r="B453" i="4"/>
  <c r="D453" i="4" s="1"/>
  <c r="B454" i="4"/>
  <c r="D454" i="4" s="1"/>
  <c r="B455" i="4"/>
  <c r="D455" i="4" s="1"/>
  <c r="B456" i="4"/>
  <c r="D456" i="4" s="1"/>
  <c r="B457" i="4"/>
  <c r="D457" i="4" s="1"/>
  <c r="B458" i="4"/>
  <c r="D458" i="4" s="1"/>
  <c r="B459" i="4"/>
  <c r="D459" i="4" s="1"/>
  <c r="B460" i="4"/>
  <c r="D460" i="4" s="1"/>
  <c r="B461" i="4"/>
  <c r="D461" i="4" s="1"/>
  <c r="B462" i="4"/>
  <c r="D462" i="4" s="1"/>
  <c r="B463" i="4"/>
  <c r="D463" i="4" s="1"/>
  <c r="B464" i="4"/>
  <c r="D464" i="4" s="1"/>
  <c r="B465" i="4"/>
  <c r="D465" i="4" s="1"/>
  <c r="B466" i="4"/>
  <c r="D466" i="4" s="1"/>
  <c r="B467" i="4"/>
  <c r="D467" i="4" s="1"/>
  <c r="B468" i="4"/>
  <c r="D468" i="4" s="1"/>
  <c r="B469" i="4"/>
  <c r="D469" i="4" s="1"/>
  <c r="B470" i="4"/>
  <c r="D470" i="4" s="1"/>
  <c r="B471" i="4"/>
  <c r="D471" i="4" s="1"/>
  <c r="B472" i="4"/>
  <c r="D472" i="4" s="1"/>
  <c r="B473" i="4"/>
  <c r="D473" i="4" s="1"/>
  <c r="B474" i="4"/>
  <c r="D474" i="4" s="1"/>
  <c r="B475" i="4"/>
  <c r="D475" i="4" s="1"/>
  <c r="B476" i="4"/>
  <c r="D476" i="4" s="1"/>
  <c r="B477" i="4"/>
  <c r="D477" i="4" s="1"/>
  <c r="B478" i="4"/>
  <c r="D478" i="4" s="1"/>
  <c r="B479" i="4"/>
  <c r="D479" i="4" s="1"/>
  <c r="B480" i="4"/>
  <c r="D480" i="4" s="1"/>
  <c r="B481" i="4"/>
  <c r="D481" i="4" s="1"/>
  <c r="B482" i="4"/>
  <c r="D482" i="4" s="1"/>
  <c r="B483" i="4"/>
  <c r="D483" i="4" s="1"/>
  <c r="B484" i="4"/>
  <c r="D484" i="4" s="1"/>
  <c r="B485" i="4"/>
  <c r="D485" i="4" s="1"/>
  <c r="B486" i="4"/>
  <c r="D486" i="4" s="1"/>
  <c r="B487" i="4"/>
  <c r="D487" i="4" s="1"/>
  <c r="B488" i="4"/>
  <c r="D488" i="4" s="1"/>
  <c r="B489" i="4"/>
  <c r="D489" i="4" s="1"/>
  <c r="B490" i="4"/>
  <c r="D490" i="4" s="1"/>
  <c r="B491" i="4"/>
  <c r="D491" i="4" s="1"/>
  <c r="B492" i="4"/>
  <c r="D492" i="4" s="1"/>
  <c r="B493" i="4"/>
  <c r="D493" i="4" s="1"/>
  <c r="B494" i="4"/>
  <c r="D494" i="4" s="1"/>
  <c r="B495" i="4"/>
  <c r="D495" i="4" s="1"/>
  <c r="B496" i="4"/>
  <c r="D496" i="4" s="1"/>
  <c r="B497" i="4"/>
  <c r="D497" i="4" s="1"/>
  <c r="B498" i="4"/>
  <c r="D498" i="4" s="1"/>
  <c r="B499" i="4"/>
  <c r="D499" i="4" s="1"/>
  <c r="B500" i="4"/>
  <c r="D500" i="4" s="1"/>
  <c r="B501" i="4"/>
  <c r="D501" i="4" s="1"/>
  <c r="B2" i="4"/>
  <c r="D2" i="4" s="1"/>
  <c r="D18" i="3"/>
  <c r="D15" i="3"/>
  <c r="D16" i="3"/>
  <c r="D17" i="3"/>
  <c r="D14" i="3"/>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 i="1"/>
</calcChain>
</file>

<file path=xl/sharedStrings.xml><?xml version="1.0" encoding="utf-8"?>
<sst xmlns="http://schemas.openxmlformats.org/spreadsheetml/2006/main" count="4181" uniqueCount="160">
  <si>
    <t>Tanggal</t>
  </si>
  <si>
    <t>Nama Produk</t>
  </si>
  <si>
    <t>Kategori</t>
  </si>
  <si>
    <t>Jumlah Terjual</t>
  </si>
  <si>
    <t>Harga Satuan</t>
  </si>
  <si>
    <t>Total Penjualan</t>
  </si>
  <si>
    <t>Metode Pembayaran</t>
  </si>
  <si>
    <t>2025-06-06</t>
  </si>
  <si>
    <t>Dimsum Ayam</t>
  </si>
  <si>
    <t>Dimsum</t>
  </si>
  <si>
    <t>Transfer</t>
  </si>
  <si>
    <t>2025-04-23</t>
  </si>
  <si>
    <t>Dimsum Udang</t>
  </si>
  <si>
    <t>Cash</t>
  </si>
  <si>
    <t>2025-06-02</t>
  </si>
  <si>
    <t>2025-06-13</t>
  </si>
  <si>
    <t>Dimsum Ayam Jamur</t>
  </si>
  <si>
    <t>2025-05-07</t>
  </si>
  <si>
    <t>QRIS</t>
  </si>
  <si>
    <t>2025-06-17</t>
  </si>
  <si>
    <t>E-Wallet</t>
  </si>
  <si>
    <t>2025-05-15</t>
  </si>
  <si>
    <t>Dimsum Nori</t>
  </si>
  <si>
    <t>2025-06-27</t>
  </si>
  <si>
    <t>2025-06-25</t>
  </si>
  <si>
    <t>2025-05-16</t>
  </si>
  <si>
    <t>Dimsum Kepiting</t>
  </si>
  <si>
    <t>2025-06-29</t>
  </si>
  <si>
    <t>2025-06-03</t>
  </si>
  <si>
    <t>2025-04-10</t>
  </si>
  <si>
    <t>2025-04-04</t>
  </si>
  <si>
    <t>2025-04-13</t>
  </si>
  <si>
    <t>2025-05-27</t>
  </si>
  <si>
    <t>2025-04-07</t>
  </si>
  <si>
    <t>2025-06-11</t>
  </si>
  <si>
    <t>2025-06-28</t>
  </si>
  <si>
    <t>2025-06-15</t>
  </si>
  <si>
    <t>2025-04-17</t>
  </si>
  <si>
    <t>2025-05-22</t>
  </si>
  <si>
    <t>2025-04-03</t>
  </si>
  <si>
    <t>2025-06-12</t>
  </si>
  <si>
    <t>2025-04-06</t>
  </si>
  <si>
    <t>2025-05-17</t>
  </si>
  <si>
    <t>2025-05-29</t>
  </si>
  <si>
    <t>2025-04-18</t>
  </si>
  <si>
    <t>2025-05-10</t>
  </si>
  <si>
    <t>2025-06-05</t>
  </si>
  <si>
    <t>2025-05-02</t>
  </si>
  <si>
    <t>2025-04-15</t>
  </si>
  <si>
    <t>2025-06-20</t>
  </si>
  <si>
    <t>2025-04-29</t>
  </si>
  <si>
    <t>2025-06-16</t>
  </si>
  <si>
    <t>2025-06-04</t>
  </si>
  <si>
    <t>2025-04-12</t>
  </si>
  <si>
    <t>2025-06-08</t>
  </si>
  <si>
    <t>2025-04-30</t>
  </si>
  <si>
    <t>2025-05-23</t>
  </si>
  <si>
    <t>2025-05-31</t>
  </si>
  <si>
    <t>2025-04-28</t>
  </si>
  <si>
    <t>2025-06-24</t>
  </si>
  <si>
    <t>2025-04-26</t>
  </si>
  <si>
    <t>2025-05-14</t>
  </si>
  <si>
    <t>2025-06-18</t>
  </si>
  <si>
    <t>2025-04-19</t>
  </si>
  <si>
    <t>2025-05-30</t>
  </si>
  <si>
    <t>2025-05-25</t>
  </si>
  <si>
    <t>2025-04-08</t>
  </si>
  <si>
    <t>2025-04-11</t>
  </si>
  <si>
    <t>2025-06-09</t>
  </si>
  <si>
    <t>2025-06-07</t>
  </si>
  <si>
    <t>2025-04-20</t>
  </si>
  <si>
    <t>2025-05-11</t>
  </si>
  <si>
    <t>2025-05-04</t>
  </si>
  <si>
    <t>2025-05-13</t>
  </si>
  <si>
    <t>2025-05-19</t>
  </si>
  <si>
    <t>2025-05-12</t>
  </si>
  <si>
    <t>2025-04-22</t>
  </si>
  <si>
    <t>2025-06-30</t>
  </si>
  <si>
    <t>2025-04-25</t>
  </si>
  <si>
    <t>2025-05-05</t>
  </si>
  <si>
    <t>2025-05-26</t>
  </si>
  <si>
    <t>2025-06-19</t>
  </si>
  <si>
    <t>2025-06-22</t>
  </si>
  <si>
    <t>2025-06-01</t>
  </si>
  <si>
    <t>2025-05-01</t>
  </si>
  <si>
    <t>2025-06-10</t>
  </si>
  <si>
    <t>2025-04-27</t>
  </si>
  <si>
    <t>2025-05-03</t>
  </si>
  <si>
    <t>2025-05-06</t>
  </si>
  <si>
    <t>2025-06-21</t>
  </si>
  <si>
    <t>2025-04-01</t>
  </si>
  <si>
    <t>2025-04-16</t>
  </si>
  <si>
    <t>2025-05-18</t>
  </si>
  <si>
    <t>2025-05-09</t>
  </si>
  <si>
    <t>2025-04-05</t>
  </si>
  <si>
    <t>2025-06-26</t>
  </si>
  <si>
    <t>2025-05-21</t>
  </si>
  <si>
    <t>2025-05-08</t>
  </si>
  <si>
    <t>2025-04-21</t>
  </si>
  <si>
    <t>2025-05-24</t>
  </si>
  <si>
    <t>2025-06-14</t>
  </si>
  <si>
    <t>2025-04-09</t>
  </si>
  <si>
    <t>2025-04-24</t>
  </si>
  <si>
    <t>2025-06-23</t>
  </si>
  <si>
    <t>2025-04-02</t>
  </si>
  <si>
    <t>2025-05-20</t>
  </si>
  <si>
    <t>2025-04-14</t>
  </si>
  <si>
    <t>Concatenate</t>
  </si>
  <si>
    <t>replace</t>
  </si>
  <si>
    <t>Len</t>
  </si>
  <si>
    <t>Trim</t>
  </si>
  <si>
    <t>Row Labels</t>
  </si>
  <si>
    <t>Grand Total</t>
  </si>
  <si>
    <t>Total Penjualan Dimsum</t>
  </si>
  <si>
    <t>(All)</t>
  </si>
  <si>
    <t>Task: Berapa total penjualan per user?</t>
  </si>
  <si>
    <t>Table Customer</t>
  </si>
  <si>
    <t>User ID</t>
  </si>
  <si>
    <t>Name</t>
  </si>
  <si>
    <t>Alice</t>
  </si>
  <si>
    <t>Bob</t>
  </si>
  <si>
    <t>Carol</t>
  </si>
  <si>
    <t>Dave</t>
  </si>
  <si>
    <t>Rafli</t>
  </si>
  <si>
    <t>Table Product Sales</t>
  </si>
  <si>
    <t>Order</t>
  </si>
  <si>
    <t>Amount (Dollar)</t>
  </si>
  <si>
    <t>Product Name</t>
  </si>
  <si>
    <t>Fish</t>
  </si>
  <si>
    <t>Banana</t>
  </si>
  <si>
    <t>Beaf</t>
  </si>
  <si>
    <t>Avocado</t>
  </si>
  <si>
    <t>VLOOKUP</t>
  </si>
  <si>
    <t>List Question:</t>
  </si>
  <si>
    <t>1. Analisis produk (Total Revenue, Quantity, Ranking Produk, Kontribusi %)</t>
  </si>
  <si>
    <t>2. Analisis waktu per minggu (weekend vs weekend, hari yang paling laris, pola mingguan)</t>
  </si>
  <si>
    <t>3. Analisis waktu per bulan (total omzet, transaksi, rata-rata, growth, produk terlaris per bulan)</t>
  </si>
  <si>
    <t>4. Analisis Metode Pembayaran (apa yang sering dipakai, rata-rata nilai transaksi per metode, Apakah Qris Meningkatkan Transaksi)</t>
  </si>
  <si>
    <t xml:space="preserve">5. Forecast Sederhana </t>
  </si>
  <si>
    <t>Sum of Jumlah Terjual</t>
  </si>
  <si>
    <t>Sum of Total Penjualan</t>
  </si>
  <si>
    <t>Hari</t>
  </si>
  <si>
    <t>Kategori Hari</t>
  </si>
  <si>
    <t>Sunday</t>
  </si>
  <si>
    <t>Monday</t>
  </si>
  <si>
    <t>Tuesday</t>
  </si>
  <si>
    <t>Wednesday</t>
  </si>
  <si>
    <t>Thursday</t>
  </si>
  <si>
    <t>Friday</t>
  </si>
  <si>
    <t>Saturday</t>
  </si>
  <si>
    <t>Bulan</t>
  </si>
  <si>
    <t>April</t>
  </si>
  <si>
    <t>May</t>
  </si>
  <si>
    <t>June</t>
  </si>
  <si>
    <t>Weekday</t>
  </si>
  <si>
    <t>Weekend</t>
  </si>
  <si>
    <t>Count of Metode Pembayaran</t>
  </si>
  <si>
    <t>Count of Kategori Hari</t>
  </si>
  <si>
    <t>Average of Jumlah Terjual</t>
  </si>
  <si>
    <t>DIMSUM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</si>
</sst>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22"/>
      <color theme="0"/>
      <name val="Calibri"/>
      <family val="2"/>
      <scheme val="minor"/>
    </font>
  </fonts>
  <fills count="3">
    <fill>
      <patternFill patternType="none"/>
    </fill>
    <fill>
      <patternFill patternType="gray125"/>
    </fill>
    <fill>
      <patternFill patternType="solid">
        <fgColor theme="9"/>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8" xfId="0" applyBorder="1"/>
    <xf numFmtId="0" fontId="1" fillId="0" borderId="0" xfId="0" applyFont="1"/>
    <xf numFmtId="0" fontId="0" fillId="0" borderId="0" xfId="0" applyNumberFormat="1"/>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4" xfId="0" applyFont="1" applyFill="1" applyBorder="1" applyAlignment="1">
      <alignment horizontal="center" vertical="center"/>
    </xf>
  </cellXfs>
  <cellStyles count="1">
    <cellStyle name="Normal" xfId="0" builtinId="0"/>
  </cellStyles>
  <dxfs count="4">
    <dxf>
      <numFmt numFmtId="19" formatCode="dd/mm/yyyy"/>
    </dxf>
    <dxf>
      <numFmt numFmtId="19" formatCode="dd/mm/yyyy"/>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Forecasting!PivotTable1</c:name>
    <c:fmtId val="1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Total Product Quantity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Forecasting'!$B$3</c:f>
              <c:strCache>
                <c:ptCount val="1"/>
                <c:pt idx="0">
                  <c:v>Total</c:v>
                </c:pt>
              </c:strCache>
            </c:strRef>
          </c:tx>
          <c:spPr>
            <a:solidFill>
              <a:schemeClr val="accent1">
                <a:alpha val="70000"/>
              </a:schemeClr>
            </a:solidFill>
            <a:ln>
              <a:noFill/>
            </a:ln>
            <a:effectLst/>
          </c:spPr>
          <c:invertIfNegative val="0"/>
          <c:cat>
            <c:strRef>
              <c:f>'Analisis &amp; Forecasting'!$A$4:$A$9</c:f>
              <c:strCache>
                <c:ptCount val="5"/>
                <c:pt idx="0">
                  <c:v>Dimsum Kepiting</c:v>
                </c:pt>
                <c:pt idx="1">
                  <c:v>Dimsum Ayam Jamur</c:v>
                </c:pt>
                <c:pt idx="2">
                  <c:v>Dimsum Ayam</c:v>
                </c:pt>
                <c:pt idx="3">
                  <c:v>Dimsum Nori</c:v>
                </c:pt>
                <c:pt idx="4">
                  <c:v>Dimsum Udang</c:v>
                </c:pt>
              </c:strCache>
            </c:strRef>
          </c:cat>
          <c:val>
            <c:numRef>
              <c:f>'Analisis &amp; Forecasting'!$B$4:$B$9</c:f>
              <c:numCache>
                <c:formatCode>General</c:formatCode>
                <c:ptCount val="5"/>
                <c:pt idx="0">
                  <c:v>1107</c:v>
                </c:pt>
                <c:pt idx="1">
                  <c:v>1106</c:v>
                </c:pt>
                <c:pt idx="2">
                  <c:v>1052</c:v>
                </c:pt>
                <c:pt idx="3">
                  <c:v>928</c:v>
                </c:pt>
                <c:pt idx="4">
                  <c:v>882</c:v>
                </c:pt>
              </c:numCache>
            </c:numRef>
          </c:val>
          <c:extLst>
            <c:ext xmlns:c16="http://schemas.microsoft.com/office/drawing/2014/chart" uri="{C3380CC4-5D6E-409C-BE32-E72D297353CC}">
              <c16:uniqueId val="{00000008-1C6E-417D-809A-F49B5E923858}"/>
            </c:ext>
          </c:extLst>
        </c:ser>
        <c:dLbls>
          <c:showLegendKey val="0"/>
          <c:showVal val="0"/>
          <c:showCatName val="0"/>
          <c:showSerName val="0"/>
          <c:showPercent val="0"/>
          <c:showBubbleSize val="0"/>
        </c:dLbls>
        <c:gapWidth val="80"/>
        <c:overlap val="25"/>
        <c:axId val="1704600096"/>
        <c:axId val="1704614240"/>
      </c:barChart>
      <c:catAx>
        <c:axId val="17046000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04614240"/>
        <c:crosses val="autoZero"/>
        <c:auto val="1"/>
        <c:lblAlgn val="ctr"/>
        <c:lblOffset val="100"/>
        <c:noMultiLvlLbl val="0"/>
      </c:catAx>
      <c:valAx>
        <c:axId val="170461424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046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Forecasting!PivotTable2</c:name>
    <c:fmtId val="1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Product Revenue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Forecasting'!$B$19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Forecasting'!$A$20:$A$25</c:f>
              <c:strCache>
                <c:ptCount val="5"/>
                <c:pt idx="0">
                  <c:v>Dimsum Ayam Jamur</c:v>
                </c:pt>
                <c:pt idx="1">
                  <c:v>Dimsum Kepiting</c:v>
                </c:pt>
                <c:pt idx="2">
                  <c:v>Dimsum Ayam</c:v>
                </c:pt>
                <c:pt idx="3">
                  <c:v>Dimsum Nori</c:v>
                </c:pt>
                <c:pt idx="4">
                  <c:v>Dimsum Udang</c:v>
                </c:pt>
              </c:strCache>
            </c:strRef>
          </c:cat>
          <c:val>
            <c:numRef>
              <c:f>'Analisis &amp; Forecasting'!$B$20:$B$25</c:f>
              <c:numCache>
                <c:formatCode>General</c:formatCode>
                <c:ptCount val="5"/>
                <c:pt idx="0">
                  <c:v>18261000</c:v>
                </c:pt>
                <c:pt idx="1">
                  <c:v>17196000</c:v>
                </c:pt>
                <c:pt idx="2">
                  <c:v>16682000</c:v>
                </c:pt>
                <c:pt idx="3">
                  <c:v>14598000</c:v>
                </c:pt>
                <c:pt idx="4">
                  <c:v>13938000</c:v>
                </c:pt>
              </c:numCache>
            </c:numRef>
          </c:val>
          <c:extLst>
            <c:ext xmlns:c16="http://schemas.microsoft.com/office/drawing/2014/chart" uri="{C3380CC4-5D6E-409C-BE32-E72D297353CC}">
              <c16:uniqueId val="{00000000-092C-476C-8319-219C26F0EC1B}"/>
            </c:ext>
          </c:extLst>
        </c:ser>
        <c:dLbls>
          <c:dLblPos val="inEnd"/>
          <c:showLegendKey val="0"/>
          <c:showVal val="1"/>
          <c:showCatName val="0"/>
          <c:showSerName val="0"/>
          <c:showPercent val="0"/>
          <c:showBubbleSize val="0"/>
        </c:dLbls>
        <c:gapWidth val="41"/>
        <c:axId val="1813569056"/>
        <c:axId val="1813569472"/>
      </c:barChart>
      <c:catAx>
        <c:axId val="181356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13569472"/>
        <c:crosses val="autoZero"/>
        <c:auto val="1"/>
        <c:lblAlgn val="ctr"/>
        <c:lblOffset val="100"/>
        <c:noMultiLvlLbl val="0"/>
      </c:catAx>
      <c:valAx>
        <c:axId val="1813569472"/>
        <c:scaling>
          <c:orientation val="minMax"/>
        </c:scaling>
        <c:delete val="1"/>
        <c:axPos val="l"/>
        <c:numFmt formatCode="General" sourceLinked="1"/>
        <c:majorTickMark val="none"/>
        <c:minorTickMark val="none"/>
        <c:tickLblPos val="nextTo"/>
        <c:crossAx val="181356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Forecasting!PivotTable3</c:name>
    <c:fmtId val="1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Product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'Analisis &amp; Forecasting'!$H$3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26-451B-BFBB-C0FA659508B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26-451B-BFBB-C0FA659508B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726-451B-BFBB-C0FA659508B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726-451B-BFBB-C0FA659508B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726-451B-BFBB-C0FA659508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 &amp; Forecasting'!$G$4:$G$9</c:f>
              <c:strCache>
                <c:ptCount val="5"/>
                <c:pt idx="0">
                  <c:v>Dimsum Ayam Jamur</c:v>
                </c:pt>
                <c:pt idx="1">
                  <c:v>Dimsum Kepiting</c:v>
                </c:pt>
                <c:pt idx="2">
                  <c:v>Dimsum Ayam</c:v>
                </c:pt>
                <c:pt idx="3">
                  <c:v>Dimsum Nori</c:v>
                </c:pt>
                <c:pt idx="4">
                  <c:v>Dimsum Udang</c:v>
                </c:pt>
              </c:strCache>
            </c:strRef>
          </c:cat>
          <c:val>
            <c:numRef>
              <c:f>'Analisis &amp; Forecasting'!$H$4:$H$9</c:f>
              <c:numCache>
                <c:formatCode>0.00%</c:formatCode>
                <c:ptCount val="5"/>
                <c:pt idx="0">
                  <c:v>0.22635264951967771</c:v>
                </c:pt>
                <c:pt idx="1">
                  <c:v>0.21315153393244499</c:v>
                </c:pt>
                <c:pt idx="2">
                  <c:v>0.20678029129222189</c:v>
                </c:pt>
                <c:pt idx="3">
                  <c:v>0.18094824914781532</c:v>
                </c:pt>
                <c:pt idx="4">
                  <c:v>0.1727672761078401</c:v>
                </c:pt>
              </c:numCache>
            </c:numRef>
          </c:val>
          <c:extLst>
            <c:ext xmlns:c16="http://schemas.microsoft.com/office/drawing/2014/chart" uri="{C3380CC4-5D6E-409C-BE32-E72D297353CC}">
              <c16:uniqueId val="{00000000-6E0E-496A-8F3D-BB629EEC6F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Forecasting!PivotTable11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Weekend vs Weekday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Forecasting'!$B$35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Forecasting'!$A$36:$A$38</c:f>
              <c:strCache>
                <c:ptCount val="2"/>
                <c:pt idx="0">
                  <c:v>Weekend</c:v>
                </c:pt>
                <c:pt idx="1">
                  <c:v>Weekday</c:v>
                </c:pt>
              </c:strCache>
            </c:strRef>
          </c:cat>
          <c:val>
            <c:numRef>
              <c:f>'Analisis &amp; Forecasting'!$B$36:$B$38</c:f>
              <c:numCache>
                <c:formatCode>General</c:formatCode>
                <c:ptCount val="2"/>
                <c:pt idx="0">
                  <c:v>147</c:v>
                </c:pt>
                <c:pt idx="1">
                  <c:v>353</c:v>
                </c:pt>
              </c:numCache>
            </c:numRef>
          </c:val>
          <c:extLst>
            <c:ext xmlns:c16="http://schemas.microsoft.com/office/drawing/2014/chart" uri="{C3380CC4-5D6E-409C-BE32-E72D297353CC}">
              <c16:uniqueId val="{00000002-F0D0-454D-BE19-E06BA186DFBA}"/>
            </c:ext>
          </c:extLst>
        </c:ser>
        <c:dLbls>
          <c:dLblPos val="inEnd"/>
          <c:showLegendKey val="0"/>
          <c:showVal val="1"/>
          <c:showCatName val="0"/>
          <c:showSerName val="0"/>
          <c:showPercent val="0"/>
          <c:showBubbleSize val="0"/>
        </c:dLbls>
        <c:gapWidth val="65"/>
        <c:axId val="1938471824"/>
        <c:axId val="1938472240"/>
      </c:barChart>
      <c:catAx>
        <c:axId val="1938471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8472240"/>
        <c:crosses val="autoZero"/>
        <c:auto val="1"/>
        <c:lblAlgn val="ctr"/>
        <c:lblOffset val="100"/>
        <c:noMultiLvlLbl val="0"/>
      </c:catAx>
      <c:valAx>
        <c:axId val="1938472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8471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Forecasting!PivotTable4</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Weekly Pattern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'Analisis &amp; Forecasting'!$H$35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'Analisis &amp; Forecasting'!$G$36:$G$43</c:f>
              <c:strCache>
                <c:ptCount val="7"/>
                <c:pt idx="0">
                  <c:v>Sunday</c:v>
                </c:pt>
                <c:pt idx="1">
                  <c:v>Monday</c:v>
                </c:pt>
                <c:pt idx="2">
                  <c:v>Tuesday</c:v>
                </c:pt>
                <c:pt idx="3">
                  <c:v>Wednesday</c:v>
                </c:pt>
                <c:pt idx="4">
                  <c:v>Thursday</c:v>
                </c:pt>
                <c:pt idx="5">
                  <c:v>Friday</c:v>
                </c:pt>
                <c:pt idx="6">
                  <c:v>Saturday</c:v>
                </c:pt>
              </c:strCache>
            </c:strRef>
          </c:cat>
          <c:val>
            <c:numRef>
              <c:f>'Analisis &amp; Forecasting'!$H$36:$H$43</c:f>
              <c:numCache>
                <c:formatCode>General</c:formatCode>
                <c:ptCount val="7"/>
                <c:pt idx="0">
                  <c:v>741</c:v>
                </c:pt>
                <c:pt idx="1">
                  <c:v>485</c:v>
                </c:pt>
                <c:pt idx="2">
                  <c:v>936</c:v>
                </c:pt>
                <c:pt idx="3">
                  <c:v>661</c:v>
                </c:pt>
                <c:pt idx="4">
                  <c:v>674</c:v>
                </c:pt>
                <c:pt idx="5">
                  <c:v>801</c:v>
                </c:pt>
                <c:pt idx="6">
                  <c:v>777</c:v>
                </c:pt>
              </c:numCache>
            </c:numRef>
          </c:val>
          <c:smooth val="0"/>
          <c:extLst>
            <c:ext xmlns:c16="http://schemas.microsoft.com/office/drawing/2014/chart" uri="{C3380CC4-5D6E-409C-BE32-E72D297353CC}">
              <c16:uniqueId val="{00000000-2D6F-435B-BF71-CACEB9C735C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230256"/>
        <c:axId val="43229840"/>
      </c:lineChart>
      <c:catAx>
        <c:axId val="432302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29840"/>
        <c:crosses val="autoZero"/>
        <c:auto val="1"/>
        <c:lblAlgn val="ctr"/>
        <c:lblOffset val="100"/>
        <c:noMultiLvlLbl val="0"/>
      </c:catAx>
      <c:valAx>
        <c:axId val="4322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3025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Forecasting!PivotTable7</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Best Selling Products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Forecasting'!$B$51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'Analisis &amp; Forecasting'!$A$52:$A$70</c:f>
              <c:multiLvlStrCache>
                <c:ptCount val="15"/>
                <c:lvl>
                  <c:pt idx="0">
                    <c:v>Dimsum Nori</c:v>
                  </c:pt>
                  <c:pt idx="1">
                    <c:v>Dimsum Ayam</c:v>
                  </c:pt>
                  <c:pt idx="2">
                    <c:v>Dimsum Udang</c:v>
                  </c:pt>
                  <c:pt idx="3">
                    <c:v>Dimsum Kepiting</c:v>
                  </c:pt>
                  <c:pt idx="4">
                    <c:v>Dimsum Ayam Jamur</c:v>
                  </c:pt>
                  <c:pt idx="5">
                    <c:v>Dimsum Ayam Jamur</c:v>
                  </c:pt>
                  <c:pt idx="6">
                    <c:v>Dimsum Nori</c:v>
                  </c:pt>
                  <c:pt idx="7">
                    <c:v>Dimsum Kepiting</c:v>
                  </c:pt>
                  <c:pt idx="8">
                    <c:v>Dimsum Udang</c:v>
                  </c:pt>
                  <c:pt idx="9">
                    <c:v>Dimsum Ayam</c:v>
                  </c:pt>
                  <c:pt idx="10">
                    <c:v>Dimsum Udang</c:v>
                  </c:pt>
                  <c:pt idx="11">
                    <c:v>Dimsum Ayam</c:v>
                  </c:pt>
                  <c:pt idx="12">
                    <c:v>Dimsum Ayam Jamur</c:v>
                  </c:pt>
                  <c:pt idx="13">
                    <c:v>Dimsum Nori</c:v>
                  </c:pt>
                  <c:pt idx="14">
                    <c:v>Dimsum Kepiting</c:v>
                  </c:pt>
                </c:lvl>
                <c:lvl>
                  <c:pt idx="0">
                    <c:v>June</c:v>
                  </c:pt>
                  <c:pt idx="5">
                    <c:v>April</c:v>
                  </c:pt>
                  <c:pt idx="10">
                    <c:v>May</c:v>
                  </c:pt>
                </c:lvl>
              </c:multiLvlStrCache>
            </c:multiLvlStrRef>
          </c:cat>
          <c:val>
            <c:numRef>
              <c:f>'Analisis &amp; Forecasting'!$B$52:$B$70</c:f>
              <c:numCache>
                <c:formatCode>General</c:formatCode>
                <c:ptCount val="15"/>
                <c:pt idx="0">
                  <c:v>220</c:v>
                </c:pt>
                <c:pt idx="1">
                  <c:v>304</c:v>
                </c:pt>
                <c:pt idx="2">
                  <c:v>321</c:v>
                </c:pt>
                <c:pt idx="3">
                  <c:v>331</c:v>
                </c:pt>
                <c:pt idx="4">
                  <c:v>421</c:v>
                </c:pt>
                <c:pt idx="5">
                  <c:v>315</c:v>
                </c:pt>
                <c:pt idx="6">
                  <c:v>322</c:v>
                </c:pt>
                <c:pt idx="7">
                  <c:v>326</c:v>
                </c:pt>
                <c:pt idx="8">
                  <c:v>350</c:v>
                </c:pt>
                <c:pt idx="9">
                  <c:v>387</c:v>
                </c:pt>
                <c:pt idx="10">
                  <c:v>211</c:v>
                </c:pt>
                <c:pt idx="11">
                  <c:v>361</c:v>
                </c:pt>
                <c:pt idx="12">
                  <c:v>370</c:v>
                </c:pt>
                <c:pt idx="13">
                  <c:v>386</c:v>
                </c:pt>
                <c:pt idx="14">
                  <c:v>450</c:v>
                </c:pt>
              </c:numCache>
            </c:numRef>
          </c:val>
          <c:extLst>
            <c:ext xmlns:c16="http://schemas.microsoft.com/office/drawing/2014/chart" uri="{C3380CC4-5D6E-409C-BE32-E72D297353CC}">
              <c16:uniqueId val="{00000000-0DDF-44F9-8716-4B983BE8D526}"/>
            </c:ext>
          </c:extLst>
        </c:ser>
        <c:dLbls>
          <c:dLblPos val="inEnd"/>
          <c:showLegendKey val="0"/>
          <c:showVal val="1"/>
          <c:showCatName val="0"/>
          <c:showSerName val="0"/>
          <c:showPercent val="0"/>
          <c:showBubbleSize val="0"/>
        </c:dLbls>
        <c:gapWidth val="65"/>
        <c:axId val="495618080"/>
        <c:axId val="495616832"/>
      </c:barChart>
      <c:catAx>
        <c:axId val="495618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5616832"/>
        <c:crosses val="autoZero"/>
        <c:auto val="1"/>
        <c:lblAlgn val="ctr"/>
        <c:lblOffset val="100"/>
        <c:noMultiLvlLbl val="0"/>
      </c:catAx>
      <c:valAx>
        <c:axId val="4956168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56180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turnover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Forecasting'!$J$52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Forecasting'!$I$53:$I$56</c:f>
              <c:strCache>
                <c:ptCount val="3"/>
                <c:pt idx="0">
                  <c:v>May</c:v>
                </c:pt>
                <c:pt idx="1">
                  <c:v>April</c:v>
                </c:pt>
                <c:pt idx="2">
                  <c:v>June</c:v>
                </c:pt>
              </c:strCache>
            </c:strRef>
          </c:cat>
          <c:val>
            <c:numRef>
              <c:f>'Analisis &amp; Forecasting'!$J$53:$J$56</c:f>
              <c:numCache>
                <c:formatCode>General</c:formatCode>
                <c:ptCount val="3"/>
                <c:pt idx="0">
                  <c:v>28066000</c:v>
                </c:pt>
                <c:pt idx="1">
                  <c:v>27269000</c:v>
                </c:pt>
                <c:pt idx="2">
                  <c:v>25340000</c:v>
                </c:pt>
              </c:numCache>
            </c:numRef>
          </c:val>
          <c:extLst>
            <c:ext xmlns:c16="http://schemas.microsoft.com/office/drawing/2014/chart" uri="{C3380CC4-5D6E-409C-BE32-E72D297353CC}">
              <c16:uniqueId val="{00000000-5C84-405C-A589-C1138EAAE8DC}"/>
            </c:ext>
          </c:extLst>
        </c:ser>
        <c:dLbls>
          <c:dLblPos val="inEnd"/>
          <c:showLegendKey val="0"/>
          <c:showVal val="1"/>
          <c:showCatName val="0"/>
          <c:showSerName val="0"/>
          <c:showPercent val="0"/>
          <c:showBubbleSize val="0"/>
        </c:dLbls>
        <c:gapWidth val="65"/>
        <c:axId val="635333568"/>
        <c:axId val="635334400"/>
      </c:barChart>
      <c:catAx>
        <c:axId val="635333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5334400"/>
        <c:crosses val="autoZero"/>
        <c:auto val="1"/>
        <c:lblAlgn val="ctr"/>
        <c:lblOffset val="100"/>
        <c:noMultiLvlLbl val="0"/>
      </c:catAx>
      <c:valAx>
        <c:axId val="635334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53335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a:t>Total Transactions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Forecasting'!$B$73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Forecasting'!$A$74:$A$77</c:f>
              <c:strCache>
                <c:ptCount val="3"/>
                <c:pt idx="0">
                  <c:v>June</c:v>
                </c:pt>
                <c:pt idx="1">
                  <c:v>May</c:v>
                </c:pt>
                <c:pt idx="2">
                  <c:v>April</c:v>
                </c:pt>
              </c:strCache>
            </c:strRef>
          </c:cat>
          <c:val>
            <c:numRef>
              <c:f>'Analisis &amp; Forecasting'!$B$74:$B$77</c:f>
              <c:numCache>
                <c:formatCode>General</c:formatCode>
                <c:ptCount val="3"/>
                <c:pt idx="0">
                  <c:v>165</c:v>
                </c:pt>
                <c:pt idx="1">
                  <c:v>166</c:v>
                </c:pt>
                <c:pt idx="2">
                  <c:v>169</c:v>
                </c:pt>
              </c:numCache>
            </c:numRef>
          </c:val>
          <c:extLst>
            <c:ext xmlns:c16="http://schemas.microsoft.com/office/drawing/2014/chart" uri="{C3380CC4-5D6E-409C-BE32-E72D297353CC}">
              <c16:uniqueId val="{00000000-1099-4344-935C-FD0970C85755}"/>
            </c:ext>
          </c:extLst>
        </c:ser>
        <c:dLbls>
          <c:dLblPos val="inEnd"/>
          <c:showLegendKey val="0"/>
          <c:showVal val="1"/>
          <c:showCatName val="0"/>
          <c:showSerName val="0"/>
          <c:showPercent val="0"/>
          <c:showBubbleSize val="0"/>
        </c:dLbls>
        <c:gapWidth val="65"/>
        <c:axId val="708533232"/>
        <c:axId val="708533648"/>
      </c:barChart>
      <c:catAx>
        <c:axId val="708533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8533648"/>
        <c:crosses val="autoZero"/>
        <c:auto val="1"/>
        <c:lblAlgn val="ctr"/>
        <c:lblOffset val="100"/>
        <c:noMultiLvlLbl val="0"/>
      </c:catAx>
      <c:valAx>
        <c:axId val="7085336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85332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Forecasting!PivotTable9</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Growth per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&amp; Forecasting'!$I$73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'Analisis &amp; Forecasting'!$H$74:$H$77</c:f>
              <c:strCache>
                <c:ptCount val="3"/>
                <c:pt idx="0">
                  <c:v>April</c:v>
                </c:pt>
                <c:pt idx="1">
                  <c:v>May</c:v>
                </c:pt>
                <c:pt idx="2">
                  <c:v>June</c:v>
                </c:pt>
              </c:strCache>
            </c:strRef>
          </c:cat>
          <c:val>
            <c:numRef>
              <c:f>'Analisis &amp; Forecasting'!$I$74:$I$77</c:f>
              <c:numCache>
                <c:formatCode>0.00%</c:formatCode>
                <c:ptCount val="3"/>
                <c:pt idx="1">
                  <c:v>2.922732773479042E-2</c:v>
                </c:pt>
                <c:pt idx="2">
                  <c:v>-7.073966775459313E-2</c:v>
                </c:pt>
              </c:numCache>
            </c:numRef>
          </c:val>
          <c:smooth val="0"/>
          <c:extLst>
            <c:ext xmlns:c16="http://schemas.microsoft.com/office/drawing/2014/chart" uri="{C3380CC4-5D6E-409C-BE32-E72D297353CC}">
              <c16:uniqueId val="{00000000-115A-4566-9944-C044F093F79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70098080"/>
        <c:axId val="770099328"/>
      </c:lineChart>
      <c:catAx>
        <c:axId val="7700980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70099328"/>
        <c:crosses val="autoZero"/>
        <c:auto val="1"/>
        <c:lblAlgn val="ctr"/>
        <c:lblOffset val="100"/>
        <c:noMultiLvlLbl val="0"/>
      </c:catAx>
      <c:valAx>
        <c:axId val="770099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00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transactions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&amp; Forecasting'!$B$88</c:f>
              <c:strCache>
                <c:ptCount val="1"/>
                <c:pt idx="0">
                  <c:v>Total</c:v>
                </c:pt>
              </c:strCache>
            </c:strRef>
          </c:tx>
          <c:spPr>
            <a:ln w="28575" cap="rnd">
              <a:solidFill>
                <a:schemeClr val="accent1"/>
              </a:solidFill>
              <a:round/>
            </a:ln>
            <a:effectLst/>
          </c:spPr>
          <c:marker>
            <c:symbol val="none"/>
          </c:marker>
          <c:cat>
            <c:strRef>
              <c:f>'Analisis &amp; Forecasting'!$A$89:$A$92</c:f>
              <c:strCache>
                <c:ptCount val="3"/>
                <c:pt idx="0">
                  <c:v>April</c:v>
                </c:pt>
                <c:pt idx="1">
                  <c:v>May</c:v>
                </c:pt>
                <c:pt idx="2">
                  <c:v>June</c:v>
                </c:pt>
              </c:strCache>
            </c:strRef>
          </c:cat>
          <c:val>
            <c:numRef>
              <c:f>'Analisis &amp; Forecasting'!$B$89:$B$92</c:f>
              <c:numCache>
                <c:formatCode>General</c:formatCode>
                <c:ptCount val="3"/>
                <c:pt idx="0">
                  <c:v>10.059171597633137</c:v>
                </c:pt>
                <c:pt idx="1">
                  <c:v>10.710843373493976</c:v>
                </c:pt>
                <c:pt idx="2">
                  <c:v>9.6787878787878796</c:v>
                </c:pt>
              </c:numCache>
            </c:numRef>
          </c:val>
          <c:smooth val="0"/>
          <c:extLst>
            <c:ext xmlns:c16="http://schemas.microsoft.com/office/drawing/2014/chart" uri="{C3380CC4-5D6E-409C-BE32-E72D297353CC}">
              <c16:uniqueId val="{00000000-FD3E-4F06-818E-13C73CCD24A7}"/>
            </c:ext>
          </c:extLst>
        </c:ser>
        <c:dLbls>
          <c:showLegendKey val="0"/>
          <c:showVal val="0"/>
          <c:showCatName val="0"/>
          <c:showSerName val="0"/>
          <c:showPercent val="0"/>
          <c:showBubbleSize val="0"/>
        </c:dLbls>
        <c:smooth val="0"/>
        <c:axId val="641440064"/>
        <c:axId val="641439648"/>
      </c:lineChart>
      <c:catAx>
        <c:axId val="64144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439648"/>
        <c:crosses val="autoZero"/>
        <c:auto val="1"/>
        <c:lblAlgn val="ctr"/>
        <c:lblOffset val="100"/>
        <c:noMultiLvlLbl val="0"/>
      </c:catAx>
      <c:valAx>
        <c:axId val="64143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44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Forecasting!PivotTable12</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transaction payment method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Forecasting'!$B$104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Forecasting'!$A$105:$A$109</c:f>
              <c:strCache>
                <c:ptCount val="4"/>
                <c:pt idx="0">
                  <c:v>Cash</c:v>
                </c:pt>
                <c:pt idx="1">
                  <c:v>Transfer</c:v>
                </c:pt>
                <c:pt idx="2">
                  <c:v>QRIS</c:v>
                </c:pt>
                <c:pt idx="3">
                  <c:v>E-Wallet</c:v>
                </c:pt>
              </c:strCache>
            </c:strRef>
          </c:cat>
          <c:val>
            <c:numRef>
              <c:f>'Analisis &amp; Forecasting'!$B$105:$B$109</c:f>
              <c:numCache>
                <c:formatCode>General</c:formatCode>
                <c:ptCount val="4"/>
                <c:pt idx="0">
                  <c:v>136</c:v>
                </c:pt>
                <c:pt idx="1">
                  <c:v>129</c:v>
                </c:pt>
                <c:pt idx="2">
                  <c:v>125</c:v>
                </c:pt>
                <c:pt idx="3">
                  <c:v>110</c:v>
                </c:pt>
              </c:numCache>
            </c:numRef>
          </c:val>
          <c:extLst>
            <c:ext xmlns:c16="http://schemas.microsoft.com/office/drawing/2014/chart" uri="{C3380CC4-5D6E-409C-BE32-E72D297353CC}">
              <c16:uniqueId val="{00000000-FB3B-44AE-89C0-082EF9790757}"/>
            </c:ext>
          </c:extLst>
        </c:ser>
        <c:dLbls>
          <c:dLblPos val="inEnd"/>
          <c:showLegendKey val="0"/>
          <c:showVal val="1"/>
          <c:showCatName val="0"/>
          <c:showSerName val="0"/>
          <c:showPercent val="0"/>
          <c:showBubbleSize val="0"/>
        </c:dLbls>
        <c:gapWidth val="41"/>
        <c:axId val="1054582304"/>
        <c:axId val="1054591872"/>
      </c:barChart>
      <c:catAx>
        <c:axId val="105458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54591872"/>
        <c:crosses val="autoZero"/>
        <c:auto val="1"/>
        <c:lblAlgn val="ctr"/>
        <c:lblOffset val="100"/>
        <c:noMultiLvlLbl val="0"/>
      </c:catAx>
      <c:valAx>
        <c:axId val="1054591872"/>
        <c:scaling>
          <c:orientation val="minMax"/>
        </c:scaling>
        <c:delete val="1"/>
        <c:axPos val="l"/>
        <c:numFmt formatCode="General" sourceLinked="1"/>
        <c:majorTickMark val="none"/>
        <c:minorTickMark val="none"/>
        <c:tickLblPos val="nextTo"/>
        <c:crossAx val="105458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Forecasting!PivotTable3</c:name>
    <c:fmtId val="2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Product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tint val="54000"/>
            </a:schemeClr>
          </a:solidFill>
          <a:ln>
            <a:noFill/>
          </a:ln>
          <a:effectLst>
            <a:outerShdw blurRad="317500" algn="ctr" rotWithShape="0">
              <a:prstClr val="black">
                <a:alpha val="25000"/>
              </a:prstClr>
            </a:outerShdw>
          </a:effectLst>
        </c:spPr>
      </c:pivotFmt>
      <c:pivotFmt>
        <c:idx val="14"/>
        <c:spPr>
          <a:solidFill>
            <a:schemeClr val="accent6">
              <a:tint val="77000"/>
            </a:schemeClr>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shade val="76000"/>
            </a:schemeClr>
          </a:solidFill>
          <a:ln>
            <a:noFill/>
          </a:ln>
          <a:effectLst>
            <a:outerShdw blurRad="317500" algn="ctr" rotWithShape="0">
              <a:prstClr val="black">
                <a:alpha val="25000"/>
              </a:prstClr>
            </a:outerShdw>
          </a:effectLst>
        </c:spPr>
      </c:pivotFmt>
      <c:pivotFmt>
        <c:idx val="17"/>
        <c:spPr>
          <a:solidFill>
            <a:schemeClr val="accent6">
              <a:shade val="53000"/>
            </a:schemeClr>
          </a:solidFill>
          <a:ln>
            <a:noFill/>
          </a:ln>
          <a:effectLst>
            <a:outerShdw blurRad="317500" algn="ctr" rotWithShape="0">
              <a:prstClr val="black">
                <a:alpha val="25000"/>
              </a:prstClr>
            </a:outerShdw>
          </a:effectLst>
        </c:spPr>
      </c:pivotFmt>
    </c:pivotFmts>
    <c:plotArea>
      <c:layout/>
      <c:pieChart>
        <c:varyColors val="1"/>
        <c:ser>
          <c:idx val="0"/>
          <c:order val="0"/>
          <c:tx>
            <c:strRef>
              <c:f>'Analisis &amp; Forecasting'!$H$3</c:f>
              <c:strCache>
                <c:ptCount val="1"/>
                <c:pt idx="0">
                  <c:v>Total</c:v>
                </c:pt>
              </c:strCache>
            </c:strRef>
          </c:tx>
          <c:dPt>
            <c:idx val="0"/>
            <c:bubble3D val="0"/>
            <c:spPr>
              <a:solidFill>
                <a:schemeClr val="accent6">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599-4D42-8488-5D19B8E2F194}"/>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599-4D42-8488-5D19B8E2F194}"/>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599-4D42-8488-5D19B8E2F194}"/>
              </c:ext>
            </c:extLst>
          </c:dPt>
          <c:dPt>
            <c:idx val="3"/>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599-4D42-8488-5D19B8E2F194}"/>
              </c:ext>
            </c:extLst>
          </c:dPt>
          <c:dPt>
            <c:idx val="4"/>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599-4D42-8488-5D19B8E2F1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 &amp; Forecasting'!$G$4:$G$9</c:f>
              <c:strCache>
                <c:ptCount val="5"/>
                <c:pt idx="0">
                  <c:v>Dimsum Ayam Jamur</c:v>
                </c:pt>
                <c:pt idx="1">
                  <c:v>Dimsum Kepiting</c:v>
                </c:pt>
                <c:pt idx="2">
                  <c:v>Dimsum Ayam</c:v>
                </c:pt>
                <c:pt idx="3">
                  <c:v>Dimsum Nori</c:v>
                </c:pt>
                <c:pt idx="4">
                  <c:v>Dimsum Udang</c:v>
                </c:pt>
              </c:strCache>
            </c:strRef>
          </c:cat>
          <c:val>
            <c:numRef>
              <c:f>'Analisis &amp; Forecasting'!$H$4:$H$9</c:f>
              <c:numCache>
                <c:formatCode>0.00%</c:formatCode>
                <c:ptCount val="5"/>
                <c:pt idx="0">
                  <c:v>0.22635264951967771</c:v>
                </c:pt>
                <c:pt idx="1">
                  <c:v>0.21315153393244499</c:v>
                </c:pt>
                <c:pt idx="2">
                  <c:v>0.20678029129222189</c:v>
                </c:pt>
                <c:pt idx="3">
                  <c:v>0.18094824914781532</c:v>
                </c:pt>
                <c:pt idx="4">
                  <c:v>0.1727672761078401</c:v>
                </c:pt>
              </c:numCache>
            </c:numRef>
          </c:val>
          <c:extLst>
            <c:ext xmlns:c16="http://schemas.microsoft.com/office/drawing/2014/chart" uri="{C3380CC4-5D6E-409C-BE32-E72D297353CC}">
              <c16:uniqueId val="{0000000A-1599-4D42-8488-5D19B8E2F19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Forecasting!PivotTable1</c:name>
    <c:fmtId val="19"/>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Total Product Quantity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Forecasting'!$B$3</c:f>
              <c:strCache>
                <c:ptCount val="1"/>
                <c:pt idx="0">
                  <c:v>Total</c:v>
                </c:pt>
              </c:strCache>
            </c:strRef>
          </c:tx>
          <c:spPr>
            <a:solidFill>
              <a:schemeClr val="accent6">
                <a:alpha val="70000"/>
              </a:schemeClr>
            </a:solidFill>
            <a:ln>
              <a:noFill/>
            </a:ln>
            <a:effectLst/>
          </c:spPr>
          <c:invertIfNegative val="0"/>
          <c:cat>
            <c:strRef>
              <c:f>'Analisis &amp; Forecasting'!$A$4:$A$9</c:f>
              <c:strCache>
                <c:ptCount val="5"/>
                <c:pt idx="0">
                  <c:v>Dimsum Kepiting</c:v>
                </c:pt>
                <c:pt idx="1">
                  <c:v>Dimsum Ayam Jamur</c:v>
                </c:pt>
                <c:pt idx="2">
                  <c:v>Dimsum Ayam</c:v>
                </c:pt>
                <c:pt idx="3">
                  <c:v>Dimsum Nori</c:v>
                </c:pt>
                <c:pt idx="4">
                  <c:v>Dimsum Udang</c:v>
                </c:pt>
              </c:strCache>
            </c:strRef>
          </c:cat>
          <c:val>
            <c:numRef>
              <c:f>'Analisis &amp; Forecasting'!$B$4:$B$9</c:f>
              <c:numCache>
                <c:formatCode>General</c:formatCode>
                <c:ptCount val="5"/>
                <c:pt idx="0">
                  <c:v>1107</c:v>
                </c:pt>
                <c:pt idx="1">
                  <c:v>1106</c:v>
                </c:pt>
                <c:pt idx="2">
                  <c:v>1052</c:v>
                </c:pt>
                <c:pt idx="3">
                  <c:v>928</c:v>
                </c:pt>
                <c:pt idx="4">
                  <c:v>882</c:v>
                </c:pt>
              </c:numCache>
            </c:numRef>
          </c:val>
          <c:extLst>
            <c:ext xmlns:c16="http://schemas.microsoft.com/office/drawing/2014/chart" uri="{C3380CC4-5D6E-409C-BE32-E72D297353CC}">
              <c16:uniqueId val="{00000000-9856-46B0-8B04-FC90C917662C}"/>
            </c:ext>
          </c:extLst>
        </c:ser>
        <c:dLbls>
          <c:showLegendKey val="0"/>
          <c:showVal val="0"/>
          <c:showCatName val="0"/>
          <c:showSerName val="0"/>
          <c:showPercent val="0"/>
          <c:showBubbleSize val="0"/>
        </c:dLbls>
        <c:gapWidth val="80"/>
        <c:overlap val="25"/>
        <c:axId val="1704600096"/>
        <c:axId val="1704614240"/>
      </c:barChart>
      <c:catAx>
        <c:axId val="17046000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04614240"/>
        <c:crosses val="autoZero"/>
        <c:auto val="1"/>
        <c:lblAlgn val="ctr"/>
        <c:lblOffset val="100"/>
        <c:noMultiLvlLbl val="0"/>
      </c:catAx>
      <c:valAx>
        <c:axId val="170461424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046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Forecasting!PivotTable2</c:name>
    <c:fmtId val="2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Product Revenue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Forecasting'!$B$19</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Forecasting'!$A$20:$A$25</c:f>
              <c:strCache>
                <c:ptCount val="5"/>
                <c:pt idx="0">
                  <c:v>Dimsum Ayam Jamur</c:v>
                </c:pt>
                <c:pt idx="1">
                  <c:v>Dimsum Kepiting</c:v>
                </c:pt>
                <c:pt idx="2">
                  <c:v>Dimsum Ayam</c:v>
                </c:pt>
                <c:pt idx="3">
                  <c:v>Dimsum Nori</c:v>
                </c:pt>
                <c:pt idx="4">
                  <c:v>Dimsum Udang</c:v>
                </c:pt>
              </c:strCache>
            </c:strRef>
          </c:cat>
          <c:val>
            <c:numRef>
              <c:f>'Analisis &amp; Forecasting'!$B$20:$B$25</c:f>
              <c:numCache>
                <c:formatCode>General</c:formatCode>
                <c:ptCount val="5"/>
                <c:pt idx="0">
                  <c:v>18261000</c:v>
                </c:pt>
                <c:pt idx="1">
                  <c:v>17196000</c:v>
                </c:pt>
                <c:pt idx="2">
                  <c:v>16682000</c:v>
                </c:pt>
                <c:pt idx="3">
                  <c:v>14598000</c:v>
                </c:pt>
                <c:pt idx="4">
                  <c:v>13938000</c:v>
                </c:pt>
              </c:numCache>
            </c:numRef>
          </c:val>
          <c:extLst>
            <c:ext xmlns:c16="http://schemas.microsoft.com/office/drawing/2014/chart" uri="{C3380CC4-5D6E-409C-BE32-E72D297353CC}">
              <c16:uniqueId val="{00000000-EF17-4657-9604-19ED2E75C322}"/>
            </c:ext>
          </c:extLst>
        </c:ser>
        <c:dLbls>
          <c:dLblPos val="inEnd"/>
          <c:showLegendKey val="0"/>
          <c:showVal val="1"/>
          <c:showCatName val="0"/>
          <c:showSerName val="0"/>
          <c:showPercent val="0"/>
          <c:showBubbleSize val="0"/>
        </c:dLbls>
        <c:gapWidth val="41"/>
        <c:axId val="1813569056"/>
        <c:axId val="1813569472"/>
      </c:barChart>
      <c:catAx>
        <c:axId val="181356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13569472"/>
        <c:crosses val="autoZero"/>
        <c:auto val="1"/>
        <c:lblAlgn val="ctr"/>
        <c:lblOffset val="100"/>
        <c:noMultiLvlLbl val="0"/>
      </c:catAx>
      <c:valAx>
        <c:axId val="1813569472"/>
        <c:scaling>
          <c:orientation val="minMax"/>
        </c:scaling>
        <c:delete val="1"/>
        <c:axPos val="l"/>
        <c:numFmt formatCode="General" sourceLinked="1"/>
        <c:majorTickMark val="none"/>
        <c:minorTickMark val="none"/>
        <c:tickLblPos val="nextTo"/>
        <c:crossAx val="181356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Forecasting!PivotTable11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Weekend vs Weekday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Forecasting'!$B$35</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Forecasting'!$A$36:$A$38</c:f>
              <c:strCache>
                <c:ptCount val="2"/>
                <c:pt idx="0">
                  <c:v>Weekend</c:v>
                </c:pt>
                <c:pt idx="1">
                  <c:v>Weekday</c:v>
                </c:pt>
              </c:strCache>
            </c:strRef>
          </c:cat>
          <c:val>
            <c:numRef>
              <c:f>'Analisis &amp; Forecasting'!$B$36:$B$38</c:f>
              <c:numCache>
                <c:formatCode>General</c:formatCode>
                <c:ptCount val="2"/>
                <c:pt idx="0">
                  <c:v>147</c:v>
                </c:pt>
                <c:pt idx="1">
                  <c:v>353</c:v>
                </c:pt>
              </c:numCache>
            </c:numRef>
          </c:val>
          <c:extLst>
            <c:ext xmlns:c16="http://schemas.microsoft.com/office/drawing/2014/chart" uri="{C3380CC4-5D6E-409C-BE32-E72D297353CC}">
              <c16:uniqueId val="{00000000-9BC0-4F51-AFF4-70227829828D}"/>
            </c:ext>
          </c:extLst>
        </c:ser>
        <c:dLbls>
          <c:dLblPos val="inEnd"/>
          <c:showLegendKey val="0"/>
          <c:showVal val="1"/>
          <c:showCatName val="0"/>
          <c:showSerName val="0"/>
          <c:showPercent val="0"/>
          <c:showBubbleSize val="0"/>
        </c:dLbls>
        <c:gapWidth val="65"/>
        <c:axId val="1938471824"/>
        <c:axId val="1938472240"/>
      </c:barChart>
      <c:catAx>
        <c:axId val="1938471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8472240"/>
        <c:crosses val="autoZero"/>
        <c:auto val="1"/>
        <c:lblAlgn val="ctr"/>
        <c:lblOffset val="100"/>
        <c:noMultiLvlLbl val="0"/>
      </c:catAx>
      <c:valAx>
        <c:axId val="1938472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8471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Forecasting!PivotTable4</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Weekly Pattern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'Analisis &amp; Forecasting'!$H$35</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'Analisis &amp; Forecasting'!$G$36:$G$43</c:f>
              <c:strCache>
                <c:ptCount val="7"/>
                <c:pt idx="0">
                  <c:v>Sunday</c:v>
                </c:pt>
                <c:pt idx="1">
                  <c:v>Monday</c:v>
                </c:pt>
                <c:pt idx="2">
                  <c:v>Tuesday</c:v>
                </c:pt>
                <c:pt idx="3">
                  <c:v>Wednesday</c:v>
                </c:pt>
                <c:pt idx="4">
                  <c:v>Thursday</c:v>
                </c:pt>
                <c:pt idx="5">
                  <c:v>Friday</c:v>
                </c:pt>
                <c:pt idx="6">
                  <c:v>Saturday</c:v>
                </c:pt>
              </c:strCache>
            </c:strRef>
          </c:cat>
          <c:val>
            <c:numRef>
              <c:f>'Analisis &amp; Forecasting'!$H$36:$H$43</c:f>
              <c:numCache>
                <c:formatCode>General</c:formatCode>
                <c:ptCount val="7"/>
                <c:pt idx="0">
                  <c:v>741</c:v>
                </c:pt>
                <c:pt idx="1">
                  <c:v>485</c:v>
                </c:pt>
                <c:pt idx="2">
                  <c:v>936</c:v>
                </c:pt>
                <c:pt idx="3">
                  <c:v>661</c:v>
                </c:pt>
                <c:pt idx="4">
                  <c:v>674</c:v>
                </c:pt>
                <c:pt idx="5">
                  <c:v>801</c:v>
                </c:pt>
                <c:pt idx="6">
                  <c:v>777</c:v>
                </c:pt>
              </c:numCache>
            </c:numRef>
          </c:val>
          <c:smooth val="0"/>
          <c:extLst>
            <c:ext xmlns:c16="http://schemas.microsoft.com/office/drawing/2014/chart" uri="{C3380CC4-5D6E-409C-BE32-E72D297353CC}">
              <c16:uniqueId val="{00000000-FF01-4DF9-96F0-26E945EA7CC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230256"/>
        <c:axId val="43229840"/>
      </c:lineChart>
      <c:catAx>
        <c:axId val="432302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29840"/>
        <c:crosses val="autoZero"/>
        <c:auto val="1"/>
        <c:lblAlgn val="ctr"/>
        <c:lblOffset val="100"/>
        <c:noMultiLvlLbl val="0"/>
      </c:catAx>
      <c:valAx>
        <c:axId val="4322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3025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turnover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Forecasting'!$J$52</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Forecasting'!$I$53:$I$56</c:f>
              <c:strCache>
                <c:ptCount val="3"/>
                <c:pt idx="0">
                  <c:v>May</c:v>
                </c:pt>
                <c:pt idx="1">
                  <c:v>April</c:v>
                </c:pt>
                <c:pt idx="2">
                  <c:v>June</c:v>
                </c:pt>
              </c:strCache>
            </c:strRef>
          </c:cat>
          <c:val>
            <c:numRef>
              <c:f>'Analisis &amp; Forecasting'!$J$53:$J$56</c:f>
              <c:numCache>
                <c:formatCode>General</c:formatCode>
                <c:ptCount val="3"/>
                <c:pt idx="0">
                  <c:v>28066000</c:v>
                </c:pt>
                <c:pt idx="1">
                  <c:v>27269000</c:v>
                </c:pt>
                <c:pt idx="2">
                  <c:v>25340000</c:v>
                </c:pt>
              </c:numCache>
            </c:numRef>
          </c:val>
          <c:extLst>
            <c:ext xmlns:c16="http://schemas.microsoft.com/office/drawing/2014/chart" uri="{C3380CC4-5D6E-409C-BE32-E72D297353CC}">
              <c16:uniqueId val="{00000000-660B-4167-9F86-B8B722462A81}"/>
            </c:ext>
          </c:extLst>
        </c:ser>
        <c:dLbls>
          <c:dLblPos val="inEnd"/>
          <c:showLegendKey val="0"/>
          <c:showVal val="1"/>
          <c:showCatName val="0"/>
          <c:showSerName val="0"/>
          <c:showPercent val="0"/>
          <c:showBubbleSize val="0"/>
        </c:dLbls>
        <c:gapWidth val="65"/>
        <c:axId val="635333568"/>
        <c:axId val="635334400"/>
      </c:barChart>
      <c:catAx>
        <c:axId val="635333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5334400"/>
        <c:crosses val="autoZero"/>
        <c:auto val="1"/>
        <c:lblAlgn val="ctr"/>
        <c:lblOffset val="100"/>
        <c:noMultiLvlLbl val="0"/>
      </c:catAx>
      <c:valAx>
        <c:axId val="635334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53335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Best Selling Products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Forecasting'!$B$51</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'Analisis &amp; Forecasting'!$A$52:$A$70</c:f>
              <c:multiLvlStrCache>
                <c:ptCount val="15"/>
                <c:lvl>
                  <c:pt idx="0">
                    <c:v>Dimsum Nori</c:v>
                  </c:pt>
                  <c:pt idx="1">
                    <c:v>Dimsum Ayam</c:v>
                  </c:pt>
                  <c:pt idx="2">
                    <c:v>Dimsum Udang</c:v>
                  </c:pt>
                  <c:pt idx="3">
                    <c:v>Dimsum Kepiting</c:v>
                  </c:pt>
                  <c:pt idx="4">
                    <c:v>Dimsum Ayam Jamur</c:v>
                  </c:pt>
                  <c:pt idx="5">
                    <c:v>Dimsum Ayam Jamur</c:v>
                  </c:pt>
                  <c:pt idx="6">
                    <c:v>Dimsum Nori</c:v>
                  </c:pt>
                  <c:pt idx="7">
                    <c:v>Dimsum Kepiting</c:v>
                  </c:pt>
                  <c:pt idx="8">
                    <c:v>Dimsum Udang</c:v>
                  </c:pt>
                  <c:pt idx="9">
                    <c:v>Dimsum Ayam</c:v>
                  </c:pt>
                  <c:pt idx="10">
                    <c:v>Dimsum Udang</c:v>
                  </c:pt>
                  <c:pt idx="11">
                    <c:v>Dimsum Ayam</c:v>
                  </c:pt>
                  <c:pt idx="12">
                    <c:v>Dimsum Ayam Jamur</c:v>
                  </c:pt>
                  <c:pt idx="13">
                    <c:v>Dimsum Nori</c:v>
                  </c:pt>
                  <c:pt idx="14">
                    <c:v>Dimsum Kepiting</c:v>
                  </c:pt>
                </c:lvl>
                <c:lvl>
                  <c:pt idx="0">
                    <c:v>June</c:v>
                  </c:pt>
                  <c:pt idx="5">
                    <c:v>April</c:v>
                  </c:pt>
                  <c:pt idx="10">
                    <c:v>May</c:v>
                  </c:pt>
                </c:lvl>
              </c:multiLvlStrCache>
            </c:multiLvlStrRef>
          </c:cat>
          <c:val>
            <c:numRef>
              <c:f>'Analisis &amp; Forecasting'!$B$52:$B$70</c:f>
              <c:numCache>
                <c:formatCode>General</c:formatCode>
                <c:ptCount val="15"/>
                <c:pt idx="0">
                  <c:v>220</c:v>
                </c:pt>
                <c:pt idx="1">
                  <c:v>304</c:v>
                </c:pt>
                <c:pt idx="2">
                  <c:v>321</c:v>
                </c:pt>
                <c:pt idx="3">
                  <c:v>331</c:v>
                </c:pt>
                <c:pt idx="4">
                  <c:v>421</c:v>
                </c:pt>
                <c:pt idx="5">
                  <c:v>315</c:v>
                </c:pt>
                <c:pt idx="6">
                  <c:v>322</c:v>
                </c:pt>
                <c:pt idx="7">
                  <c:v>326</c:v>
                </c:pt>
                <c:pt idx="8">
                  <c:v>350</c:v>
                </c:pt>
                <c:pt idx="9">
                  <c:v>387</c:v>
                </c:pt>
                <c:pt idx="10">
                  <c:v>211</c:v>
                </c:pt>
                <c:pt idx="11">
                  <c:v>361</c:v>
                </c:pt>
                <c:pt idx="12">
                  <c:v>370</c:v>
                </c:pt>
                <c:pt idx="13">
                  <c:v>386</c:v>
                </c:pt>
                <c:pt idx="14">
                  <c:v>450</c:v>
                </c:pt>
              </c:numCache>
            </c:numRef>
          </c:val>
          <c:extLst>
            <c:ext xmlns:c16="http://schemas.microsoft.com/office/drawing/2014/chart" uri="{C3380CC4-5D6E-409C-BE32-E72D297353CC}">
              <c16:uniqueId val="{00000000-6939-47AA-B3C2-2523389FFDF9}"/>
            </c:ext>
          </c:extLst>
        </c:ser>
        <c:dLbls>
          <c:dLblPos val="inEnd"/>
          <c:showLegendKey val="0"/>
          <c:showVal val="1"/>
          <c:showCatName val="0"/>
          <c:showSerName val="0"/>
          <c:showPercent val="0"/>
          <c:showBubbleSize val="0"/>
        </c:dLbls>
        <c:gapWidth val="65"/>
        <c:axId val="495618080"/>
        <c:axId val="495616832"/>
      </c:barChart>
      <c:catAx>
        <c:axId val="495618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5616832"/>
        <c:crosses val="autoZero"/>
        <c:auto val="1"/>
        <c:lblAlgn val="ctr"/>
        <c:lblOffset val="100"/>
        <c:noMultiLvlLbl val="0"/>
      </c:catAx>
      <c:valAx>
        <c:axId val="4956168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56180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a:t>Total Transactions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Forecasting'!$B$73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Forecasting'!$A$74:$A$77</c:f>
              <c:strCache>
                <c:ptCount val="3"/>
                <c:pt idx="0">
                  <c:v>June</c:v>
                </c:pt>
                <c:pt idx="1">
                  <c:v>May</c:v>
                </c:pt>
                <c:pt idx="2">
                  <c:v>April</c:v>
                </c:pt>
              </c:strCache>
            </c:strRef>
          </c:cat>
          <c:val>
            <c:numRef>
              <c:f>'Analisis &amp; Forecasting'!$B$74:$B$77</c:f>
              <c:numCache>
                <c:formatCode>General</c:formatCode>
                <c:ptCount val="3"/>
                <c:pt idx="0">
                  <c:v>165</c:v>
                </c:pt>
                <c:pt idx="1">
                  <c:v>166</c:v>
                </c:pt>
                <c:pt idx="2">
                  <c:v>169</c:v>
                </c:pt>
              </c:numCache>
            </c:numRef>
          </c:val>
          <c:extLst>
            <c:ext xmlns:c16="http://schemas.microsoft.com/office/drawing/2014/chart" uri="{C3380CC4-5D6E-409C-BE32-E72D297353CC}">
              <c16:uniqueId val="{00000000-4ACA-4FDC-BC00-E6EC1965ACA6}"/>
            </c:ext>
          </c:extLst>
        </c:ser>
        <c:dLbls>
          <c:dLblPos val="inEnd"/>
          <c:showLegendKey val="0"/>
          <c:showVal val="1"/>
          <c:showCatName val="0"/>
          <c:showSerName val="0"/>
          <c:showPercent val="0"/>
          <c:showBubbleSize val="0"/>
        </c:dLbls>
        <c:gapWidth val="65"/>
        <c:axId val="708533232"/>
        <c:axId val="708533648"/>
      </c:barChart>
      <c:catAx>
        <c:axId val="708533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8533648"/>
        <c:crosses val="autoZero"/>
        <c:auto val="1"/>
        <c:lblAlgn val="ctr"/>
        <c:lblOffset val="100"/>
        <c:noMultiLvlLbl val="0"/>
      </c:catAx>
      <c:valAx>
        <c:axId val="7085336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85332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Forecasting!PivotTable9</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Growth per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a:outerShdw dist="25400" dir="2700000" algn="tl" rotWithShape="0">
              <a:schemeClr val="accent1"/>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a:noFill/>
          </a:ln>
          <a:effectLst>
            <a:outerShdw dist="25400" dir="2700000" algn="tl" rotWithShape="0">
              <a:schemeClr val="accent1"/>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&amp; Forecasting'!$I$73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'Analisis &amp; Forecasting'!$H$74:$H$77</c:f>
              <c:strCache>
                <c:ptCount val="3"/>
                <c:pt idx="0">
                  <c:v>April</c:v>
                </c:pt>
                <c:pt idx="1">
                  <c:v>May</c:v>
                </c:pt>
                <c:pt idx="2">
                  <c:v>June</c:v>
                </c:pt>
              </c:strCache>
            </c:strRef>
          </c:cat>
          <c:val>
            <c:numRef>
              <c:f>'Analisis &amp; Forecasting'!$I$74:$I$77</c:f>
              <c:numCache>
                <c:formatCode>0.00%</c:formatCode>
                <c:ptCount val="3"/>
                <c:pt idx="1">
                  <c:v>2.922732773479042E-2</c:v>
                </c:pt>
                <c:pt idx="2">
                  <c:v>-7.073966775459313E-2</c:v>
                </c:pt>
              </c:numCache>
            </c:numRef>
          </c:val>
          <c:smooth val="0"/>
          <c:extLst>
            <c:ext xmlns:c16="http://schemas.microsoft.com/office/drawing/2014/chart" uri="{C3380CC4-5D6E-409C-BE32-E72D297353CC}">
              <c16:uniqueId val="{00000000-D091-4ACD-BFBD-5CED34EC7E9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70098080"/>
        <c:axId val="770099328"/>
      </c:lineChart>
      <c:catAx>
        <c:axId val="7700980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70099328"/>
        <c:crosses val="autoZero"/>
        <c:auto val="1"/>
        <c:lblAlgn val="ctr"/>
        <c:lblOffset val="100"/>
        <c:noMultiLvlLbl val="0"/>
      </c:catAx>
      <c:valAx>
        <c:axId val="770099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00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Forecasting!PivotTable10</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transactions per day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F7964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&amp; Forecasting'!$B$88</c:f>
              <c:strCache>
                <c:ptCount val="1"/>
                <c:pt idx="0">
                  <c:v>Total</c:v>
                </c:pt>
              </c:strCache>
            </c:strRef>
          </c:tx>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s>
            <c:spPr>
              <a:solidFill>
                <a:srgbClr val="F7964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'Analisis &amp; Forecasting'!$A$89:$A$92</c:f>
              <c:strCache>
                <c:ptCount val="3"/>
                <c:pt idx="0">
                  <c:v>April</c:v>
                </c:pt>
                <c:pt idx="1">
                  <c:v>May</c:v>
                </c:pt>
                <c:pt idx="2">
                  <c:v>June</c:v>
                </c:pt>
              </c:strCache>
            </c:strRef>
          </c:cat>
          <c:val>
            <c:numRef>
              <c:f>'Analisis &amp; Forecasting'!$B$89:$B$92</c:f>
              <c:numCache>
                <c:formatCode>General</c:formatCode>
                <c:ptCount val="3"/>
                <c:pt idx="0">
                  <c:v>10.059171597633137</c:v>
                </c:pt>
                <c:pt idx="1">
                  <c:v>10.710843373493976</c:v>
                </c:pt>
                <c:pt idx="2">
                  <c:v>9.6787878787878796</c:v>
                </c:pt>
              </c:numCache>
            </c:numRef>
          </c:val>
          <c:smooth val="0"/>
          <c:extLst>
            <c:ext xmlns:c16="http://schemas.microsoft.com/office/drawing/2014/chart" uri="{C3380CC4-5D6E-409C-BE32-E72D297353CC}">
              <c16:uniqueId val="{00000000-3DDD-4539-AF49-DFBB300E5C3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41440064"/>
        <c:axId val="641439648"/>
      </c:lineChart>
      <c:catAx>
        <c:axId val="64144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41439648"/>
        <c:crosses val="autoZero"/>
        <c:auto val="1"/>
        <c:lblAlgn val="ctr"/>
        <c:lblOffset val="100"/>
        <c:noMultiLvlLbl val="0"/>
      </c:catAx>
      <c:valAx>
        <c:axId val="641439648"/>
        <c:scaling>
          <c:orientation val="minMax"/>
        </c:scaling>
        <c:delete val="1"/>
        <c:axPos val="l"/>
        <c:numFmt formatCode="General" sourceLinked="1"/>
        <c:majorTickMark val="none"/>
        <c:minorTickMark val="none"/>
        <c:tickLblPos val="nextTo"/>
        <c:crossAx val="64144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withinLinearReversed" id="26">
  <a:schemeClr val="accent6"/>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247833</xdr:colOff>
      <xdr:row>2</xdr:row>
      <xdr:rowOff>50865</xdr:rowOff>
    </xdr:from>
    <xdr:to>
      <xdr:col>5</xdr:col>
      <xdr:colOff>92394</xdr:colOff>
      <xdr:row>15</xdr:row>
      <xdr:rowOff>173181</xdr:rowOff>
    </xdr:to>
    <xdr:graphicFrame macro="">
      <xdr:nvGraphicFramePr>
        <xdr:cNvPr id="2" name="Chart 1">
          <a:extLst>
            <a:ext uri="{FF2B5EF4-FFF2-40B4-BE49-F238E27FC236}">
              <a16:creationId xmlns:a16="http://schemas.microsoft.com/office/drawing/2014/main" id="{3E477717-0339-4322-9674-26F8872E1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140247</xdr:colOff>
      <xdr:row>16</xdr:row>
      <xdr:rowOff>143239</xdr:rowOff>
    </xdr:from>
    <xdr:to>
      <xdr:col>5</xdr:col>
      <xdr:colOff>417210</xdr:colOff>
      <xdr:row>31</xdr:row>
      <xdr:rowOff>114812</xdr:rowOff>
    </xdr:to>
    <xdr:graphicFrame macro="">
      <xdr:nvGraphicFramePr>
        <xdr:cNvPr id="3" name="Chart 2">
          <a:extLst>
            <a:ext uri="{FF2B5EF4-FFF2-40B4-BE49-F238E27FC236}">
              <a16:creationId xmlns:a16="http://schemas.microsoft.com/office/drawing/2014/main" id="{3D12E218-12DA-4573-8170-4565A02EA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383507</xdr:colOff>
      <xdr:row>0</xdr:row>
      <xdr:rowOff>90571</xdr:rowOff>
    </xdr:from>
    <xdr:to>
      <xdr:col>10</xdr:col>
      <xdr:colOff>350921</xdr:colOff>
      <xdr:row>14</xdr:row>
      <xdr:rowOff>50131</xdr:rowOff>
    </xdr:to>
    <xdr:graphicFrame macro="">
      <xdr:nvGraphicFramePr>
        <xdr:cNvPr id="4" name="Chart 3">
          <a:extLst>
            <a:ext uri="{FF2B5EF4-FFF2-40B4-BE49-F238E27FC236}">
              <a16:creationId xmlns:a16="http://schemas.microsoft.com/office/drawing/2014/main" id="{57B1E468-9754-45B9-8F79-6FB65BC58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176386</xdr:colOff>
      <xdr:row>34</xdr:row>
      <xdr:rowOff>134921</xdr:rowOff>
    </xdr:from>
    <xdr:to>
      <xdr:col>5</xdr:col>
      <xdr:colOff>398317</xdr:colOff>
      <xdr:row>47</xdr:row>
      <xdr:rowOff>34634</xdr:rowOff>
    </xdr:to>
    <xdr:graphicFrame macro="">
      <xdr:nvGraphicFramePr>
        <xdr:cNvPr id="5" name="Chart 4">
          <a:extLst>
            <a:ext uri="{FF2B5EF4-FFF2-40B4-BE49-F238E27FC236}">
              <a16:creationId xmlns:a16="http://schemas.microsoft.com/office/drawing/2014/main" id="{3F906612-E0F6-4555-8BB8-65DD5762D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260560</xdr:colOff>
      <xdr:row>32</xdr:row>
      <xdr:rowOff>57148</xdr:rowOff>
    </xdr:from>
    <xdr:to>
      <xdr:col>10</xdr:col>
      <xdr:colOff>1755434</xdr:colOff>
      <xdr:row>47</xdr:row>
      <xdr:rowOff>173181</xdr:rowOff>
    </xdr:to>
    <xdr:graphicFrame macro="">
      <xdr:nvGraphicFramePr>
        <xdr:cNvPr id="6" name="Chart 5">
          <a:extLst>
            <a:ext uri="{FF2B5EF4-FFF2-40B4-BE49-F238E27FC236}">
              <a16:creationId xmlns:a16="http://schemas.microsoft.com/office/drawing/2014/main" id="{54DE6DF2-076A-448A-B487-0EE4D9F21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347954</xdr:colOff>
      <xdr:row>50</xdr:row>
      <xdr:rowOff>105745</xdr:rowOff>
    </xdr:from>
    <xdr:to>
      <xdr:col>6</xdr:col>
      <xdr:colOff>1253290</xdr:colOff>
      <xdr:row>69</xdr:row>
      <xdr:rowOff>50130</xdr:rowOff>
    </xdr:to>
    <xdr:graphicFrame macro="">
      <xdr:nvGraphicFramePr>
        <xdr:cNvPr id="7" name="Chart 6">
          <a:extLst>
            <a:ext uri="{FF2B5EF4-FFF2-40B4-BE49-F238E27FC236}">
              <a16:creationId xmlns:a16="http://schemas.microsoft.com/office/drawing/2014/main" id="{D70401FA-E1CF-4557-817F-A2D12C50D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142876</xdr:colOff>
      <xdr:row>50</xdr:row>
      <xdr:rowOff>108744</xdr:rowOff>
    </xdr:from>
    <xdr:to>
      <xdr:col>12</xdr:col>
      <xdr:colOff>777876</xdr:colOff>
      <xdr:row>64</xdr:row>
      <xdr:rowOff>184944</xdr:rowOff>
    </xdr:to>
    <xdr:graphicFrame macro="">
      <xdr:nvGraphicFramePr>
        <xdr:cNvPr id="8" name="Chart 7">
          <a:extLst>
            <a:ext uri="{FF2B5EF4-FFF2-40B4-BE49-F238E27FC236}">
              <a16:creationId xmlns:a16="http://schemas.microsoft.com/office/drawing/2014/main" id="{2792F184-6C37-4096-B601-C9B3B95FF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234156</xdr:colOff>
      <xdr:row>70</xdr:row>
      <xdr:rowOff>180180</xdr:rowOff>
    </xdr:from>
    <xdr:to>
      <xdr:col>5</xdr:col>
      <xdr:colOff>353218</xdr:colOff>
      <xdr:row>85</xdr:row>
      <xdr:rowOff>65880</xdr:rowOff>
    </xdr:to>
    <xdr:graphicFrame macro="">
      <xdr:nvGraphicFramePr>
        <xdr:cNvPr id="9" name="Chart 8">
          <a:extLst>
            <a:ext uri="{FF2B5EF4-FFF2-40B4-BE49-F238E27FC236}">
              <a16:creationId xmlns:a16="http://schemas.microsoft.com/office/drawing/2014/main" id="{520A8C32-C7D6-47D0-A4FE-6DCEA5E36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523874</xdr:colOff>
      <xdr:row>71</xdr:row>
      <xdr:rowOff>117763</xdr:rowOff>
    </xdr:from>
    <xdr:to>
      <xdr:col>11</xdr:col>
      <xdr:colOff>1632238</xdr:colOff>
      <xdr:row>86</xdr:row>
      <xdr:rowOff>3463</xdr:rowOff>
    </xdr:to>
    <xdr:graphicFrame macro="">
      <xdr:nvGraphicFramePr>
        <xdr:cNvPr id="10" name="Chart 9">
          <a:extLst>
            <a:ext uri="{FF2B5EF4-FFF2-40B4-BE49-F238E27FC236}">
              <a16:creationId xmlns:a16="http://schemas.microsoft.com/office/drawing/2014/main" id="{85678AB7-FC08-4B62-B82C-4A48425B8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345514</xdr:colOff>
      <xdr:row>86</xdr:row>
      <xdr:rowOff>151387</xdr:rowOff>
    </xdr:from>
    <xdr:to>
      <xdr:col>5</xdr:col>
      <xdr:colOff>465379</xdr:colOff>
      <xdr:row>101</xdr:row>
      <xdr:rowOff>7121</xdr:rowOff>
    </xdr:to>
    <xdr:graphicFrame macro="">
      <xdr:nvGraphicFramePr>
        <xdr:cNvPr id="11" name="Chart 10">
          <a:extLst>
            <a:ext uri="{FF2B5EF4-FFF2-40B4-BE49-F238E27FC236}">
              <a16:creationId xmlns:a16="http://schemas.microsoft.com/office/drawing/2014/main" id="{1C26BA0D-96B0-4ADF-ABD6-165CC8DA5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290763</xdr:colOff>
      <xdr:row>103</xdr:row>
      <xdr:rowOff>82215</xdr:rowOff>
    </xdr:from>
    <xdr:to>
      <xdr:col>5</xdr:col>
      <xdr:colOff>421105</xdr:colOff>
      <xdr:row>117</xdr:row>
      <xdr:rowOff>158415</xdr:rowOff>
    </xdr:to>
    <xdr:graphicFrame macro="">
      <xdr:nvGraphicFramePr>
        <xdr:cNvPr id="12" name="Chart 11">
          <a:extLst>
            <a:ext uri="{FF2B5EF4-FFF2-40B4-BE49-F238E27FC236}">
              <a16:creationId xmlns:a16="http://schemas.microsoft.com/office/drawing/2014/main" id="{13327FFD-2107-4AB1-85A4-927998E7A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143358</xdr:colOff>
      <xdr:row>4</xdr:row>
      <xdr:rowOff>79068</xdr:rowOff>
    </xdr:from>
    <xdr:to>
      <xdr:col>4</xdr:col>
      <xdr:colOff>601885</xdr:colOff>
      <xdr:row>18</xdr:row>
      <xdr:rowOff>88167</xdr:rowOff>
    </xdr:to>
    <xdr:graphicFrame macro="">
      <xdr:nvGraphicFramePr>
        <xdr:cNvPr id="2" name="Chart 1">
          <a:extLst>
            <a:ext uri="{FF2B5EF4-FFF2-40B4-BE49-F238E27FC236}">
              <a16:creationId xmlns:a16="http://schemas.microsoft.com/office/drawing/2014/main" id="{700A831B-035D-47BA-8B69-A8E026E5E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136581</xdr:colOff>
      <xdr:row>4</xdr:row>
      <xdr:rowOff>130943</xdr:rowOff>
    </xdr:from>
    <xdr:to>
      <xdr:col>11</xdr:col>
      <xdr:colOff>556648</xdr:colOff>
      <xdr:row>18</xdr:row>
      <xdr:rowOff>161321</xdr:rowOff>
    </xdr:to>
    <xdr:graphicFrame macro="">
      <xdr:nvGraphicFramePr>
        <xdr:cNvPr id="3" name="Chart 2">
          <a:extLst>
            <a:ext uri="{FF2B5EF4-FFF2-40B4-BE49-F238E27FC236}">
              <a16:creationId xmlns:a16="http://schemas.microsoft.com/office/drawing/2014/main" id="{9EB1CD48-4FEB-440E-B927-8CBDD6A35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289835</xdr:colOff>
      <xdr:row>19</xdr:row>
      <xdr:rowOff>73932</xdr:rowOff>
    </xdr:from>
    <xdr:to>
      <xdr:col>11</xdr:col>
      <xdr:colOff>148997</xdr:colOff>
      <xdr:row>35</xdr:row>
      <xdr:rowOff>59531</xdr:rowOff>
    </xdr:to>
    <xdr:graphicFrame macro="">
      <xdr:nvGraphicFramePr>
        <xdr:cNvPr id="4" name="Chart 3">
          <a:extLst>
            <a:ext uri="{FF2B5EF4-FFF2-40B4-BE49-F238E27FC236}">
              <a16:creationId xmlns:a16="http://schemas.microsoft.com/office/drawing/2014/main" id="{EAB7D65F-52F8-4501-B1D1-2B250752D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151947</xdr:colOff>
      <xdr:row>51</xdr:row>
      <xdr:rowOff>149050</xdr:rowOff>
    </xdr:from>
    <xdr:to>
      <xdr:col>11</xdr:col>
      <xdr:colOff>532946</xdr:colOff>
      <xdr:row>66</xdr:row>
      <xdr:rowOff>70303</xdr:rowOff>
    </xdr:to>
    <xdr:graphicFrame macro="">
      <xdr:nvGraphicFramePr>
        <xdr:cNvPr id="5" name="Chart 4">
          <a:extLst>
            <a:ext uri="{FF2B5EF4-FFF2-40B4-BE49-F238E27FC236}">
              <a16:creationId xmlns:a16="http://schemas.microsoft.com/office/drawing/2014/main" id="{BA4675DD-713F-4371-B225-2FB906FAB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417095</xdr:colOff>
      <xdr:row>19</xdr:row>
      <xdr:rowOff>87682</xdr:rowOff>
    </xdr:from>
    <xdr:to>
      <xdr:col>18</xdr:col>
      <xdr:colOff>387805</xdr:colOff>
      <xdr:row>33</xdr:row>
      <xdr:rowOff>81643</xdr:rowOff>
    </xdr:to>
    <xdr:graphicFrame macro="">
      <xdr:nvGraphicFramePr>
        <xdr:cNvPr id="6" name="Chart 5">
          <a:extLst>
            <a:ext uri="{FF2B5EF4-FFF2-40B4-BE49-F238E27FC236}">
              <a16:creationId xmlns:a16="http://schemas.microsoft.com/office/drawing/2014/main" id="{7212813D-545A-444E-AB80-7468A6A84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171535</xdr:colOff>
      <xdr:row>51</xdr:row>
      <xdr:rowOff>109410</xdr:rowOff>
    </xdr:from>
    <xdr:to>
      <xdr:col>6</xdr:col>
      <xdr:colOff>23812</xdr:colOff>
      <xdr:row>66</xdr:row>
      <xdr:rowOff>127000</xdr:rowOff>
    </xdr:to>
    <xdr:graphicFrame macro="">
      <xdr:nvGraphicFramePr>
        <xdr:cNvPr id="7" name="Chart 6">
          <a:extLst>
            <a:ext uri="{FF2B5EF4-FFF2-40B4-BE49-F238E27FC236}">
              <a16:creationId xmlns:a16="http://schemas.microsoft.com/office/drawing/2014/main" id="{CA612D34-8C99-45C4-BA9B-7810E1480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252123</xdr:colOff>
      <xdr:row>33</xdr:row>
      <xdr:rowOff>140966</xdr:rowOff>
    </xdr:from>
    <xdr:to>
      <xdr:col>18</xdr:col>
      <xdr:colOff>546141</xdr:colOff>
      <xdr:row>51</xdr:row>
      <xdr:rowOff>21697</xdr:rowOff>
    </xdr:to>
    <xdr:graphicFrame macro="">
      <xdr:nvGraphicFramePr>
        <xdr:cNvPr id="8" name="Chart 7">
          <a:extLst>
            <a:ext uri="{FF2B5EF4-FFF2-40B4-BE49-F238E27FC236}">
              <a16:creationId xmlns:a16="http://schemas.microsoft.com/office/drawing/2014/main" id="{75FF777D-C524-44D8-B0DA-CAA7CA4E0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209732</xdr:colOff>
      <xdr:row>36</xdr:row>
      <xdr:rowOff>67906</xdr:rowOff>
    </xdr:from>
    <xdr:to>
      <xdr:col>7</xdr:col>
      <xdr:colOff>511597</xdr:colOff>
      <xdr:row>50</xdr:row>
      <xdr:rowOff>172315</xdr:rowOff>
    </xdr:to>
    <xdr:graphicFrame macro="">
      <xdr:nvGraphicFramePr>
        <xdr:cNvPr id="9" name="Chart 8">
          <a:extLst>
            <a:ext uri="{FF2B5EF4-FFF2-40B4-BE49-F238E27FC236}">
              <a16:creationId xmlns:a16="http://schemas.microsoft.com/office/drawing/2014/main" id="{68894B46-1143-406B-87F8-E7A522D58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48760</xdr:colOff>
      <xdr:row>51</xdr:row>
      <xdr:rowOff>139419</xdr:rowOff>
    </xdr:from>
    <xdr:to>
      <xdr:col>18</xdr:col>
      <xdr:colOff>520631</xdr:colOff>
      <xdr:row>66</xdr:row>
      <xdr:rowOff>105455</xdr:rowOff>
    </xdr:to>
    <xdr:graphicFrame macro="">
      <xdr:nvGraphicFramePr>
        <xdr:cNvPr id="10" name="Chart 9">
          <a:extLst>
            <a:ext uri="{FF2B5EF4-FFF2-40B4-BE49-F238E27FC236}">
              <a16:creationId xmlns:a16="http://schemas.microsoft.com/office/drawing/2014/main" id="{02C027CF-72AA-43A4-A323-8FAFC4983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104875</xdr:colOff>
      <xdr:row>4</xdr:row>
      <xdr:rowOff>178974</xdr:rowOff>
    </xdr:from>
    <xdr:to>
      <xdr:col>18</xdr:col>
      <xdr:colOff>480432</xdr:colOff>
      <xdr:row>18</xdr:row>
      <xdr:rowOff>156482</xdr:rowOff>
    </xdr:to>
    <xdr:graphicFrame macro="">
      <xdr:nvGraphicFramePr>
        <xdr:cNvPr id="11" name="Chart 10">
          <a:extLst>
            <a:ext uri="{FF2B5EF4-FFF2-40B4-BE49-F238E27FC236}">
              <a16:creationId xmlns:a16="http://schemas.microsoft.com/office/drawing/2014/main" id="{C0E3FDE2-5A61-4084-9818-82A8DA1B0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109778</xdr:colOff>
      <xdr:row>36</xdr:row>
      <xdr:rowOff>99069</xdr:rowOff>
    </xdr:from>
    <xdr:to>
      <xdr:col>11</xdr:col>
      <xdr:colOff>123224</xdr:colOff>
      <xdr:row>49</xdr:row>
      <xdr:rowOff>142875</xdr:rowOff>
    </xdr:to>
    <mc:AlternateContent xmlns:mc="http://schemas.openxmlformats.org/markup-compatibility/2006" xmlns:a14="http://schemas.microsoft.com/office/drawing/2010/main">
      <mc:Choice Requires="a14">
        <xdr:graphicFrame macro="">
          <xdr:nvGraphicFramePr>
            <xdr:cNvPr id="13" name="Bulan">
              <a:extLst>
                <a:ext uri="{FF2B5EF4-FFF2-40B4-BE49-F238E27FC236}">
                  <a16:creationId xmlns:a16="http://schemas.microsoft.com/office/drawing/2014/main" id="{42E81404-23E8-414E-BD26-05F159622B6A}"/>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mlns="">
        <xdr:sp macro="" textlink="">
          <xdr:nvSpPr>
            <xdr:cNvPr id="0" name=""/>
            <xdr:cNvSpPr>
              <a:spLocks noTextEdit="1"/>
            </xdr:cNvSpPr>
          </xdr:nvSpPr>
          <xdr:spPr>
            <a:xfrm>
              <a:off x="5008349" y="7097028"/>
              <a:ext cx="1850411" cy="25708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195947</xdr:colOff>
      <xdr:row>19</xdr:row>
      <xdr:rowOff>124839</xdr:rowOff>
    </xdr:from>
    <xdr:to>
      <xdr:col>3</xdr:col>
      <xdr:colOff>201391</xdr:colOff>
      <xdr:row>34</xdr:row>
      <xdr:rowOff>136071</xdr:rowOff>
    </xdr:to>
    <mc:AlternateContent xmlns:mc="http://schemas.openxmlformats.org/markup-compatibility/2006" xmlns:a14="http://schemas.microsoft.com/office/drawing/2010/main">
      <mc:Choice Requires="a14">
        <xdr:graphicFrame macro="">
          <xdr:nvGraphicFramePr>
            <xdr:cNvPr id="17" name="Nama Produk">
              <a:extLst>
                <a:ext uri="{FF2B5EF4-FFF2-40B4-BE49-F238E27FC236}">
                  <a16:creationId xmlns:a16="http://schemas.microsoft.com/office/drawing/2014/main" id="{6BA7267F-C656-4605-90C4-06BEFBCCBDDC}"/>
                </a:ext>
              </a:extLst>
            </xdr:cNvPr>
            <xdr:cNvGraphicFramePr/>
          </xdr:nvGraphicFramePr>
          <xdr:xfrm>
            <a:off x="0" y="0"/>
            <a:ext cx="0" cy="0"/>
          </xdr:xfrm>
          <a:graphic>
            <a:graphicData uri="http://schemas.microsoft.com/office/drawing/2010/slicer">
              <sle:slicer xmlns:sle="http://schemas.microsoft.com/office/drawing/2010/slicer" name="Nama Produk"/>
            </a:graphicData>
          </a:graphic>
        </xdr:graphicFrame>
      </mc:Choice>
      <mc:Fallback xmlns="">
        <xdr:sp macro="" textlink="">
          <xdr:nvSpPr>
            <xdr:cNvPr id="0" name=""/>
            <xdr:cNvSpPr>
              <a:spLocks noTextEdit="1"/>
            </xdr:cNvSpPr>
          </xdr:nvSpPr>
          <xdr:spPr>
            <a:xfrm>
              <a:off x="195947" y="3818206"/>
              <a:ext cx="1842408" cy="29270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li Adhan" refreshedDate="46064.725441666669" createdVersion="7" refreshedVersion="7" minRefreshableVersion="3" recordCount="500" xr:uid="{3422DD1A-3985-40CB-AE00-50D051E34524}">
  <cacheSource type="worksheet">
    <worksheetSource ref="A1:K501" sheet="Penjualan Dimsum"/>
  </cacheSource>
  <cacheFields count="11">
    <cacheField name="Tanggal" numFmtId="14">
      <sharedItems count="90">
        <s v="2025-06-06"/>
        <s v="2025-04-23"/>
        <s v="2025-06-02"/>
        <s v="2025-06-13"/>
        <s v="2025-05-07"/>
        <s v="2025-06-17"/>
        <s v="2025-05-15"/>
        <s v="2025-06-27"/>
        <s v="2025-06-25"/>
        <s v="2025-05-16"/>
        <s v="2025-06-29"/>
        <s v="2025-06-03"/>
        <s v="2025-04-10"/>
        <s v="2025-04-04"/>
        <s v="2025-04-13"/>
        <s v="2025-05-27"/>
        <s v="2025-04-07"/>
        <s v="2025-06-11"/>
        <s v="2025-06-28"/>
        <s v="2025-06-15"/>
        <s v="2025-04-17"/>
        <s v="2025-05-22"/>
        <s v="2025-04-03"/>
        <s v="2025-06-12"/>
        <s v="2025-04-06"/>
        <s v="2025-05-17"/>
        <s v="2025-05-29"/>
        <s v="2025-04-18"/>
        <s v="2025-05-10"/>
        <s v="2025-06-05"/>
        <s v="2025-05-02"/>
        <s v="2025-04-15"/>
        <s v="2025-06-20"/>
        <s v="2025-04-29"/>
        <s v="2025-06-16"/>
        <s v="2025-06-04"/>
        <s v="2025-04-12"/>
        <s v="2025-06-08"/>
        <s v="2025-04-30"/>
        <s v="2025-05-23"/>
        <s v="2025-05-31"/>
        <s v="2025-04-28"/>
        <s v="2025-06-24"/>
        <s v="2025-04-26"/>
        <s v="2025-05-14"/>
        <s v="2025-06-18"/>
        <s v="2025-04-19"/>
        <s v="2025-05-30"/>
        <s v="2025-05-25"/>
        <s v="2025-04-08"/>
        <s v="2025-04-11"/>
        <s v="2025-06-09"/>
        <s v="2025-06-07"/>
        <s v="2025-04-20"/>
        <s v="2025-05-11"/>
        <s v="2025-05-04"/>
        <s v="2025-05-13"/>
        <s v="2025-05-19"/>
        <s v="2025-05-12"/>
        <s v="2025-04-22"/>
        <s v="2025-06-30"/>
        <s v="2025-04-25"/>
        <s v="2025-05-05"/>
        <s v="2025-05-26"/>
        <s v="2025-06-19"/>
        <s v="2025-06-22"/>
        <s v="2025-06-01"/>
        <s v="2025-05-01"/>
        <s v="2025-06-10"/>
        <s v="2025-04-27"/>
        <s v="2025-05-03"/>
        <s v="2025-05-06"/>
        <s v="2025-06-21"/>
        <s v="2025-04-01"/>
        <s v="2025-04-16"/>
        <s v="2025-05-18"/>
        <s v="2025-05-09"/>
        <s v="2025-04-05"/>
        <s v="2025-06-26"/>
        <s v="2025-05-21"/>
        <s v="2025-05-08"/>
        <s v="2025-04-21"/>
        <s v="2025-05-24"/>
        <s v="2025-06-14"/>
        <s v="2025-04-09"/>
        <s v="2025-04-24"/>
        <s v="2025-06-23"/>
        <s v="2025-04-02"/>
        <s v="2025-05-20"/>
        <s v="2025-04-14"/>
      </sharedItems>
    </cacheField>
    <cacheField name="Nama Produk" numFmtId="0">
      <sharedItems count="5">
        <s v="Dimsum Ayam"/>
        <s v="Dimsum Udang"/>
        <s v="Dimsum Ayam Jamur"/>
        <s v="Dimsum Nori"/>
        <s v="Dimsum Kepiting"/>
      </sharedItems>
    </cacheField>
    <cacheField name="Kategori" numFmtId="0">
      <sharedItems count="1">
        <s v="Dimsum"/>
      </sharedItems>
    </cacheField>
    <cacheField name="Jumlah Terjual" numFmtId="0">
      <sharedItems containsSemiMixedTypes="0" containsString="0" containsNumber="1" containsInteger="1" minValue="1" maxValue="20"/>
    </cacheField>
    <cacheField name="Harga Satuan" numFmtId="0">
      <sharedItems containsSemiMixedTypes="0" containsString="0" containsNumber="1" containsInteger="1" minValue="12000" maxValue="20000"/>
    </cacheField>
    <cacheField name="replace" numFmtId="0">
      <sharedItems/>
    </cacheField>
    <cacheField name="Total Penjualan" numFmtId="0">
      <sharedItems containsSemiMixedTypes="0" containsString="0" containsNumber="1" containsInteger="1" minValue="12000" maxValue="400000"/>
    </cacheField>
    <cacheField name="Metode Pembayaran" numFmtId="0">
      <sharedItems count="4">
        <s v="Transfer"/>
        <s v="Cash"/>
        <s v="QRIS"/>
        <s v="E-Wallet"/>
      </sharedItems>
    </cacheField>
    <cacheField name="Concatenate" numFmtId="0">
      <sharedItems/>
    </cacheField>
    <cacheField name="Len" numFmtId="0">
      <sharedItems containsSemiMixedTypes="0" containsString="0" containsNumber="1" containsInteger="1" minValue="11" maxValue="17"/>
    </cacheField>
    <cacheField name="Trim"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li Adhan" refreshedDate="46065.34714247685" createdVersion="7" refreshedVersion="7" minRefreshableVersion="3" recordCount="500" xr:uid="{1F246A1A-E6BD-401D-A162-4F217AA8DE77}">
  <cacheSource type="worksheet">
    <worksheetSource ref="A1:J501" sheet="Data Bersih"/>
  </cacheSource>
  <cacheFields count="8">
    <cacheField name="Tanggal" numFmtId="14">
      <sharedItems count="90">
        <s v="2025-06-06"/>
        <s v="2025-04-23"/>
        <s v="2025-06-02"/>
        <s v="2025-06-13"/>
        <s v="2025-05-07"/>
        <s v="2025-06-17"/>
        <s v="2025-05-15"/>
        <s v="2025-06-27"/>
        <s v="2025-06-25"/>
        <s v="2025-05-16"/>
        <s v="2025-06-29"/>
        <s v="2025-06-03"/>
        <s v="2025-04-10"/>
        <s v="2025-04-04"/>
        <s v="2025-04-13"/>
        <s v="2025-05-27"/>
        <s v="2025-04-07"/>
        <s v="2025-06-11"/>
        <s v="2025-06-28"/>
        <s v="2025-06-15"/>
        <s v="2025-04-17"/>
        <s v="2025-05-22"/>
        <s v="2025-04-03"/>
        <s v="2025-06-12"/>
        <s v="2025-04-06"/>
        <s v="2025-05-17"/>
        <s v="2025-05-29"/>
        <s v="2025-04-18"/>
        <s v="2025-05-10"/>
        <s v="2025-06-05"/>
        <s v="2025-05-02"/>
        <s v="2025-04-15"/>
        <s v="2025-06-20"/>
        <s v="2025-04-29"/>
        <s v="2025-06-16"/>
        <s v="2025-06-04"/>
        <s v="2025-04-12"/>
        <s v="2025-06-08"/>
        <s v="2025-04-30"/>
        <s v="2025-05-23"/>
        <s v="2025-05-31"/>
        <s v="2025-04-28"/>
        <s v="2025-06-24"/>
        <s v="2025-04-26"/>
        <s v="2025-05-14"/>
        <s v="2025-06-18"/>
        <s v="2025-04-19"/>
        <s v="2025-05-30"/>
        <s v="2025-05-25"/>
        <s v="2025-04-08"/>
        <s v="2025-04-11"/>
        <s v="2025-06-09"/>
        <s v="2025-06-07"/>
        <s v="2025-04-20"/>
        <s v="2025-05-11"/>
        <s v="2025-05-04"/>
        <s v="2025-05-13"/>
        <s v="2025-05-19"/>
        <s v="2025-05-12"/>
        <s v="2025-04-22"/>
        <s v="2025-06-30"/>
        <s v="2025-04-25"/>
        <s v="2025-05-05"/>
        <s v="2025-05-26"/>
        <s v="2025-06-19"/>
        <s v="2025-06-22"/>
        <s v="2025-06-01"/>
        <s v="2025-05-01"/>
        <s v="2025-06-10"/>
        <s v="2025-04-27"/>
        <s v="2025-05-03"/>
        <s v="2025-05-06"/>
        <s v="2025-06-21"/>
        <s v="2025-04-01"/>
        <s v="2025-04-16"/>
        <s v="2025-05-18"/>
        <s v="2025-05-09"/>
        <s v="2025-04-05"/>
        <s v="2025-06-26"/>
        <s v="2025-05-21"/>
        <s v="2025-05-08"/>
        <s v="2025-04-21"/>
        <s v="2025-05-24"/>
        <s v="2025-06-14"/>
        <s v="2025-04-09"/>
        <s v="2025-04-24"/>
        <s v="2025-06-23"/>
        <s v="2025-04-02"/>
        <s v="2025-05-20"/>
        <s v="2025-04-14"/>
      </sharedItems>
    </cacheField>
    <cacheField name="Nama Produk" numFmtId="0">
      <sharedItems count="5">
        <s v="Dimsum Ayam"/>
        <s v="Dimsum Udang"/>
        <s v="Dimsum Ayam Jamur"/>
        <s v="Dimsum Nori"/>
        <s v="Dimsum Kepiting"/>
      </sharedItems>
    </cacheField>
    <cacheField name="Kategori" numFmtId="0">
      <sharedItems count="1">
        <s v="Dimsum"/>
      </sharedItems>
    </cacheField>
    <cacheField name="Jumlah Terjual" numFmtId="0">
      <sharedItems containsSemiMixedTypes="0" containsString="0" containsNumber="1" containsInteger="1" minValue="1" maxValue="20"/>
    </cacheField>
    <cacheField name="Harga Satuan" numFmtId="0">
      <sharedItems containsSemiMixedTypes="0" containsString="0" containsNumber="1" containsInteger="1" minValue="12000" maxValue="20000"/>
    </cacheField>
    <cacheField name="Total Penjualan" numFmtId="0">
      <sharedItems containsSemiMixedTypes="0" containsString="0" containsNumber="1" containsInteger="1" minValue="12000" maxValue="400000"/>
    </cacheField>
    <cacheField name="Metode Pembayaran" numFmtId="0">
      <sharedItems/>
    </cacheField>
    <cacheField name="Revenue " numFmtId="0" formula="'Jumlah Terjual'*'Harga Satuan'" databaseField="0"/>
  </cacheFields>
  <extLst>
    <ext xmlns:x14="http://schemas.microsoft.com/office/spreadsheetml/2009/9/main" uri="{725AE2AE-9491-48be-B2B4-4EB974FC3084}">
      <x14:pivotCacheDefinition pivotCacheId="1311051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li Adhan" refreshedDate="46065.368244675927" createdVersion="7" refreshedVersion="7" minRefreshableVersion="3" recordCount="500" xr:uid="{885A1817-7FD7-4CB9-B3BB-91D4FA6B4709}">
  <cacheSource type="worksheet">
    <worksheetSource name="Penjualan_Dimsum"/>
  </cacheSource>
  <cacheFields count="12">
    <cacheField name="Tanggal" numFmtId="14">
      <sharedItems/>
    </cacheField>
    <cacheField name="Hari" numFmtId="14">
      <sharedItems count="7">
        <s v="Friday"/>
        <s v="Wednesday"/>
        <s v="Monday"/>
        <s v="Tuesday"/>
        <s v="Thursday"/>
        <s v="Sunday"/>
        <s v="Saturday"/>
      </sharedItems>
    </cacheField>
    <cacheField name="Bulan" numFmtId="14">
      <sharedItems count="3">
        <s v="June"/>
        <s v="April"/>
        <s v="May"/>
      </sharedItems>
    </cacheField>
    <cacheField name="Kategori Hari" numFmtId="14">
      <sharedItems count="2">
        <s v="Weekday"/>
        <s v="Weekend"/>
      </sharedItems>
    </cacheField>
    <cacheField name="Nama Produk" numFmtId="0">
      <sharedItems count="5">
        <s v="Dimsum Ayam"/>
        <s v="Dimsum Udang"/>
        <s v="Dimsum Ayam Jamur"/>
        <s v="Dimsum Nori"/>
        <s v="Dimsum Kepiting"/>
      </sharedItems>
    </cacheField>
    <cacheField name="Kategori" numFmtId="0">
      <sharedItems count="1">
        <s v="Dimsum"/>
      </sharedItems>
    </cacheField>
    <cacheField name="Jumlah Terjual" numFmtId="0">
      <sharedItems containsSemiMixedTypes="0" containsString="0" containsNumber="1" containsInteger="1" minValue="1" maxValue="20"/>
    </cacheField>
    <cacheField name="Harga Satuan" numFmtId="0">
      <sharedItems containsSemiMixedTypes="0" containsString="0" containsNumber="1" containsInteger="1" minValue="12000" maxValue="20000"/>
    </cacheField>
    <cacheField name="Total Penjualan" numFmtId="0">
      <sharedItems containsSemiMixedTypes="0" containsString="0" containsNumber="1" containsInteger="1" minValue="12000" maxValue="400000"/>
    </cacheField>
    <cacheField name="Metode Pembayaran" numFmtId="0">
      <sharedItems count="4">
        <s v="Transfer"/>
        <s v="Cash"/>
        <s v="QRIS"/>
        <s v="E-Wallet"/>
      </sharedItems>
    </cacheField>
    <cacheField name="Total Terjual" numFmtId="0" formula=" 0" databaseField="0"/>
    <cacheField name="Total Produk Terjual" numFmtId="0" formula="'Jumlah Terjual'" databaseField="0"/>
  </cacheFields>
  <extLst>
    <ext xmlns:x14="http://schemas.microsoft.com/office/spreadsheetml/2009/9/main" uri="{725AE2AE-9491-48be-B2B4-4EB974FC3084}">
      <x14:pivotCacheDefinition pivotCacheId="1340853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9"/>
    <n v="15000"/>
    <s v="D 35000"/>
    <n v="135000"/>
    <x v="0"/>
    <s v="Dimsum Ayam = 15000"/>
    <n v="11"/>
    <s v="Dimsum Ayam"/>
  </r>
  <r>
    <x v="1"/>
    <x v="1"/>
    <x v="0"/>
    <n v="3"/>
    <n v="18000"/>
    <s v="D 4000"/>
    <n v="54000"/>
    <x v="1"/>
    <s v="Dimsum Udang = 18000"/>
    <n v="12"/>
    <s v="Dimsum Udang"/>
  </r>
  <r>
    <x v="2"/>
    <x v="1"/>
    <x v="0"/>
    <n v="17"/>
    <n v="18000"/>
    <s v="D 06000"/>
    <n v="306000"/>
    <x v="0"/>
    <s v="Dimsum Udang = 18000"/>
    <n v="12"/>
    <s v="Dimsum Udang"/>
  </r>
  <r>
    <x v="3"/>
    <x v="2"/>
    <x v="0"/>
    <n v="9"/>
    <n v="15000"/>
    <s v="D 35000"/>
    <n v="135000"/>
    <x v="0"/>
    <s v="Dimsum Ayam Jamur = 15000"/>
    <n v="17"/>
    <s v="Dimsum Ayam Jamur"/>
  </r>
  <r>
    <x v="4"/>
    <x v="0"/>
    <x v="0"/>
    <n v="17"/>
    <n v="15000"/>
    <s v="D 55000"/>
    <n v="255000"/>
    <x v="2"/>
    <s v="Dimsum Ayam = 15000"/>
    <n v="11"/>
    <s v="Dimsum Ayam"/>
  </r>
  <r>
    <x v="5"/>
    <x v="1"/>
    <x v="0"/>
    <n v="10"/>
    <n v="20000"/>
    <s v="D 00000"/>
    <n v="200000"/>
    <x v="3"/>
    <s v="Dimsum Udang = 20000"/>
    <n v="12"/>
    <s v="Dimsum Udang"/>
  </r>
  <r>
    <x v="6"/>
    <x v="0"/>
    <x v="0"/>
    <n v="9"/>
    <n v="15000"/>
    <s v="D 35000"/>
    <n v="135000"/>
    <x v="1"/>
    <s v="Dimsum Ayam = 15000"/>
    <n v="11"/>
    <s v="Dimsum Ayam"/>
  </r>
  <r>
    <x v="1"/>
    <x v="3"/>
    <x v="0"/>
    <n v="16"/>
    <n v="15000"/>
    <s v="D 40000"/>
    <n v="240000"/>
    <x v="2"/>
    <s v="Dimsum Nori = 15000"/>
    <n v="11"/>
    <s v="Dimsum Nori"/>
  </r>
  <r>
    <x v="7"/>
    <x v="2"/>
    <x v="0"/>
    <n v="4"/>
    <n v="15000"/>
    <s v="D 0000"/>
    <n v="60000"/>
    <x v="2"/>
    <s v="Dimsum Ayam Jamur = 15000"/>
    <n v="17"/>
    <s v="Dimsum Ayam Jamur"/>
  </r>
  <r>
    <x v="8"/>
    <x v="1"/>
    <x v="0"/>
    <n v="19"/>
    <n v="20000"/>
    <s v="D 80000"/>
    <n v="380000"/>
    <x v="0"/>
    <s v="Dimsum Udang = 20000"/>
    <n v="12"/>
    <s v="Dimsum Udang"/>
  </r>
  <r>
    <x v="9"/>
    <x v="4"/>
    <x v="0"/>
    <n v="7"/>
    <n v="18000"/>
    <s v="D 26000"/>
    <n v="126000"/>
    <x v="2"/>
    <s v="Dimsum Kepiting = 18000"/>
    <n v="15"/>
    <s v="Dimsum Kepiting"/>
  </r>
  <r>
    <x v="10"/>
    <x v="4"/>
    <x v="0"/>
    <n v="18"/>
    <n v="18000"/>
    <s v="D 24000"/>
    <n v="324000"/>
    <x v="2"/>
    <s v="Dimsum Kepiting = 18000"/>
    <n v="15"/>
    <s v="Dimsum Kepiting"/>
  </r>
  <r>
    <x v="11"/>
    <x v="2"/>
    <x v="0"/>
    <n v="18"/>
    <n v="15000"/>
    <s v="D 70000"/>
    <n v="270000"/>
    <x v="0"/>
    <s v="Dimsum Ayam Jamur = 15000"/>
    <n v="17"/>
    <s v="Dimsum Ayam Jamur"/>
  </r>
  <r>
    <x v="12"/>
    <x v="4"/>
    <x v="0"/>
    <n v="4"/>
    <n v="18000"/>
    <s v="D 2000"/>
    <n v="72000"/>
    <x v="2"/>
    <s v="Dimsum Kepiting = 18000"/>
    <n v="15"/>
    <s v="Dimsum Kepiting"/>
  </r>
  <r>
    <x v="13"/>
    <x v="0"/>
    <x v="0"/>
    <n v="12"/>
    <n v="15000"/>
    <s v="D 80000"/>
    <n v="180000"/>
    <x v="0"/>
    <s v="Dimsum Ayam = 15000"/>
    <n v="11"/>
    <s v="Dimsum Ayam"/>
  </r>
  <r>
    <x v="12"/>
    <x v="0"/>
    <x v="0"/>
    <n v="13"/>
    <n v="20000"/>
    <s v="D 60000"/>
    <n v="260000"/>
    <x v="1"/>
    <s v="Dimsum Ayam = 20000"/>
    <n v="11"/>
    <s v="Dimsum Ayam"/>
  </r>
  <r>
    <x v="14"/>
    <x v="0"/>
    <x v="0"/>
    <n v="7"/>
    <n v="15000"/>
    <s v="D 05000"/>
    <n v="105000"/>
    <x v="0"/>
    <s v="Dimsum Ayam = 15000"/>
    <n v="11"/>
    <s v="Dimsum Ayam"/>
  </r>
  <r>
    <x v="15"/>
    <x v="0"/>
    <x v="0"/>
    <n v="19"/>
    <n v="12000"/>
    <s v="D 28000"/>
    <n v="228000"/>
    <x v="2"/>
    <s v="Dimsum Ayam = 12000"/>
    <n v="11"/>
    <s v="Dimsum Ayam"/>
  </r>
  <r>
    <x v="12"/>
    <x v="4"/>
    <x v="0"/>
    <n v="3"/>
    <n v="20000"/>
    <s v="D 0000"/>
    <n v="60000"/>
    <x v="1"/>
    <s v="Dimsum Kepiting = 20000"/>
    <n v="15"/>
    <s v="Dimsum Kepiting"/>
  </r>
  <r>
    <x v="3"/>
    <x v="1"/>
    <x v="0"/>
    <n v="1"/>
    <n v="12000"/>
    <s v="D 2000"/>
    <n v="12000"/>
    <x v="3"/>
    <s v="Dimsum Udang = 12000"/>
    <n v="12"/>
    <s v="Dimsum Udang"/>
  </r>
  <r>
    <x v="16"/>
    <x v="0"/>
    <x v="0"/>
    <n v="1"/>
    <n v="12000"/>
    <s v="D 2000"/>
    <n v="12000"/>
    <x v="1"/>
    <s v="Dimsum Ayam = 12000"/>
    <n v="11"/>
    <s v="Dimsum Ayam"/>
  </r>
  <r>
    <x v="17"/>
    <x v="2"/>
    <x v="0"/>
    <n v="17"/>
    <n v="15000"/>
    <s v="D 55000"/>
    <n v="255000"/>
    <x v="3"/>
    <s v="Dimsum Ayam Jamur = 15000"/>
    <n v="17"/>
    <s v="Dimsum Ayam Jamur"/>
  </r>
  <r>
    <x v="18"/>
    <x v="0"/>
    <x v="0"/>
    <n v="10"/>
    <n v="12000"/>
    <s v="D 20000"/>
    <n v="120000"/>
    <x v="3"/>
    <s v="Dimsum Ayam = 12000"/>
    <n v="11"/>
    <s v="Dimsum Ayam"/>
  </r>
  <r>
    <x v="19"/>
    <x v="3"/>
    <x v="0"/>
    <n v="4"/>
    <n v="12000"/>
    <s v="D 8000"/>
    <n v="48000"/>
    <x v="1"/>
    <s v="Dimsum Nori = 12000"/>
    <n v="11"/>
    <s v="Dimsum Nori"/>
  </r>
  <r>
    <x v="20"/>
    <x v="1"/>
    <x v="0"/>
    <n v="6"/>
    <n v="18000"/>
    <s v="D 08000"/>
    <n v="108000"/>
    <x v="0"/>
    <s v="Dimsum Udang = 18000"/>
    <n v="12"/>
    <s v="Dimsum Udang"/>
  </r>
  <r>
    <x v="11"/>
    <x v="2"/>
    <x v="0"/>
    <n v="8"/>
    <n v="18000"/>
    <s v="D 44000"/>
    <n v="144000"/>
    <x v="3"/>
    <s v="Dimsum Ayam Jamur = 18000"/>
    <n v="17"/>
    <s v="Dimsum Ayam Jamur"/>
  </r>
  <r>
    <x v="20"/>
    <x v="3"/>
    <x v="0"/>
    <n v="19"/>
    <n v="12000"/>
    <s v="D 28000"/>
    <n v="228000"/>
    <x v="3"/>
    <s v="Dimsum Nori = 12000"/>
    <n v="11"/>
    <s v="Dimsum Nori"/>
  </r>
  <r>
    <x v="21"/>
    <x v="2"/>
    <x v="0"/>
    <n v="17"/>
    <n v="12000"/>
    <s v="D 04000"/>
    <n v="204000"/>
    <x v="1"/>
    <s v="Dimsum Ayam Jamur = 12000"/>
    <n v="17"/>
    <s v="Dimsum Ayam Jamur"/>
  </r>
  <r>
    <x v="3"/>
    <x v="0"/>
    <x v="0"/>
    <n v="19"/>
    <n v="15000"/>
    <s v="D 85000"/>
    <n v="285000"/>
    <x v="0"/>
    <s v="Dimsum Ayam = 15000"/>
    <n v="11"/>
    <s v="Dimsum Ayam"/>
  </r>
  <r>
    <x v="22"/>
    <x v="4"/>
    <x v="0"/>
    <n v="4"/>
    <n v="12000"/>
    <s v="D 8000"/>
    <n v="48000"/>
    <x v="1"/>
    <s v="Dimsum Kepiting = 12000"/>
    <n v="15"/>
    <s v="Dimsum Kepiting"/>
  </r>
  <r>
    <x v="3"/>
    <x v="1"/>
    <x v="0"/>
    <n v="15"/>
    <n v="12000"/>
    <s v="D 80000"/>
    <n v="180000"/>
    <x v="3"/>
    <s v="Dimsum Udang = 12000"/>
    <n v="12"/>
    <s v="Dimsum Udang"/>
  </r>
  <r>
    <x v="23"/>
    <x v="0"/>
    <x v="0"/>
    <n v="13"/>
    <n v="15000"/>
    <s v="D 95000"/>
    <n v="195000"/>
    <x v="0"/>
    <s v="Dimsum Ayam = 15000"/>
    <n v="11"/>
    <s v="Dimsum Ayam"/>
  </r>
  <r>
    <x v="15"/>
    <x v="3"/>
    <x v="0"/>
    <n v="20"/>
    <n v="12000"/>
    <s v="D 40000"/>
    <n v="240000"/>
    <x v="2"/>
    <s v="Dimsum Nori = 12000"/>
    <n v="11"/>
    <s v="Dimsum Nori"/>
  </r>
  <r>
    <x v="24"/>
    <x v="4"/>
    <x v="0"/>
    <n v="9"/>
    <n v="20000"/>
    <s v="D 80000"/>
    <n v="180000"/>
    <x v="1"/>
    <s v="Dimsum Kepiting = 20000"/>
    <n v="15"/>
    <s v="Dimsum Kepiting"/>
  </r>
  <r>
    <x v="25"/>
    <x v="3"/>
    <x v="0"/>
    <n v="7"/>
    <n v="15000"/>
    <s v="D 05000"/>
    <n v="105000"/>
    <x v="3"/>
    <s v="Dimsum Nori = 15000"/>
    <n v="11"/>
    <s v="Dimsum Nori"/>
  </r>
  <r>
    <x v="26"/>
    <x v="2"/>
    <x v="0"/>
    <n v="18"/>
    <n v="18000"/>
    <s v="D 24000"/>
    <n v="324000"/>
    <x v="2"/>
    <s v="Dimsum Ayam Jamur = 18000"/>
    <n v="17"/>
    <s v="Dimsum Ayam Jamur"/>
  </r>
  <r>
    <x v="17"/>
    <x v="0"/>
    <x v="0"/>
    <n v="8"/>
    <n v="15000"/>
    <s v="D 20000"/>
    <n v="120000"/>
    <x v="3"/>
    <s v="Dimsum Ayam = 15000"/>
    <n v="11"/>
    <s v="Dimsum Ayam"/>
  </r>
  <r>
    <x v="27"/>
    <x v="4"/>
    <x v="0"/>
    <n v="6"/>
    <n v="18000"/>
    <s v="D 08000"/>
    <n v="108000"/>
    <x v="1"/>
    <s v="Dimsum Kepiting = 18000"/>
    <n v="15"/>
    <s v="Dimsum Kepiting"/>
  </r>
  <r>
    <x v="15"/>
    <x v="3"/>
    <x v="0"/>
    <n v="18"/>
    <n v="12000"/>
    <s v="D 16000"/>
    <n v="216000"/>
    <x v="3"/>
    <s v="Dimsum Nori = 12000"/>
    <n v="11"/>
    <s v="Dimsum Nori"/>
  </r>
  <r>
    <x v="3"/>
    <x v="4"/>
    <x v="0"/>
    <n v="7"/>
    <n v="20000"/>
    <s v="D 40000"/>
    <n v="140000"/>
    <x v="3"/>
    <s v="Dimsum Kepiting = 20000"/>
    <n v="15"/>
    <s v="Dimsum Kepiting"/>
  </r>
  <r>
    <x v="7"/>
    <x v="3"/>
    <x v="0"/>
    <n v="7"/>
    <n v="15000"/>
    <s v="D 05000"/>
    <n v="105000"/>
    <x v="3"/>
    <s v="Dimsum Nori = 15000"/>
    <n v="11"/>
    <s v="Dimsum Nori"/>
  </r>
  <r>
    <x v="7"/>
    <x v="4"/>
    <x v="0"/>
    <n v="9"/>
    <n v="12000"/>
    <s v="D 08000"/>
    <n v="108000"/>
    <x v="3"/>
    <s v="Dimsum Kepiting = 12000"/>
    <n v="15"/>
    <s v="Dimsum Kepiting"/>
  </r>
  <r>
    <x v="28"/>
    <x v="3"/>
    <x v="0"/>
    <n v="20"/>
    <n v="12000"/>
    <s v="D 40000"/>
    <n v="240000"/>
    <x v="3"/>
    <s v="Dimsum Nori = 12000"/>
    <n v="11"/>
    <s v="Dimsum Nori"/>
  </r>
  <r>
    <x v="29"/>
    <x v="3"/>
    <x v="0"/>
    <n v="11"/>
    <n v="18000"/>
    <s v="D 98000"/>
    <n v="198000"/>
    <x v="0"/>
    <s v="Dimsum Nori = 18000"/>
    <n v="11"/>
    <s v="Dimsum Nori"/>
  </r>
  <r>
    <x v="28"/>
    <x v="0"/>
    <x v="0"/>
    <n v="3"/>
    <n v="15000"/>
    <s v="D 5000"/>
    <n v="45000"/>
    <x v="2"/>
    <s v="Dimsum Ayam = 15000"/>
    <n v="11"/>
    <s v="Dimsum Ayam"/>
  </r>
  <r>
    <x v="30"/>
    <x v="3"/>
    <x v="0"/>
    <n v="15"/>
    <n v="15000"/>
    <s v="D 25000"/>
    <n v="225000"/>
    <x v="0"/>
    <s v="Dimsum Nori = 15000"/>
    <n v="11"/>
    <s v="Dimsum Nori"/>
  </r>
  <r>
    <x v="31"/>
    <x v="4"/>
    <x v="0"/>
    <n v="14"/>
    <n v="18000"/>
    <s v="D 52000"/>
    <n v="252000"/>
    <x v="1"/>
    <s v="Dimsum Kepiting = 18000"/>
    <n v="15"/>
    <s v="Dimsum Kepiting"/>
  </r>
  <r>
    <x v="32"/>
    <x v="2"/>
    <x v="0"/>
    <n v="1"/>
    <n v="18000"/>
    <s v="D 8000"/>
    <n v="18000"/>
    <x v="0"/>
    <s v="Dimsum Ayam Jamur = 18000"/>
    <n v="17"/>
    <s v="Dimsum Ayam Jamur"/>
  </r>
  <r>
    <x v="20"/>
    <x v="2"/>
    <x v="0"/>
    <n v="14"/>
    <n v="20000"/>
    <s v="D 80000"/>
    <n v="280000"/>
    <x v="2"/>
    <s v="Dimsum Ayam Jamur = 20000"/>
    <n v="17"/>
    <s v="Dimsum Ayam Jamur"/>
  </r>
  <r>
    <x v="30"/>
    <x v="4"/>
    <x v="0"/>
    <n v="6"/>
    <n v="15000"/>
    <s v="D 0000"/>
    <n v="90000"/>
    <x v="3"/>
    <s v="Dimsum Kepiting = 15000"/>
    <n v="15"/>
    <s v="Dimsum Kepiting"/>
  </r>
  <r>
    <x v="20"/>
    <x v="4"/>
    <x v="0"/>
    <n v="7"/>
    <n v="20000"/>
    <s v="D 40000"/>
    <n v="140000"/>
    <x v="3"/>
    <s v="Dimsum Kepiting = 20000"/>
    <n v="15"/>
    <s v="Dimsum Kepiting"/>
  </r>
  <r>
    <x v="17"/>
    <x v="4"/>
    <x v="0"/>
    <n v="7"/>
    <n v="18000"/>
    <s v="D 26000"/>
    <n v="126000"/>
    <x v="2"/>
    <s v="Dimsum Kepiting = 18000"/>
    <n v="15"/>
    <s v="Dimsum Kepiting"/>
  </r>
  <r>
    <x v="10"/>
    <x v="4"/>
    <x v="0"/>
    <n v="14"/>
    <n v="18000"/>
    <s v="D 52000"/>
    <n v="252000"/>
    <x v="0"/>
    <s v="Dimsum Kepiting = 18000"/>
    <n v="15"/>
    <s v="Dimsum Kepiting"/>
  </r>
  <r>
    <x v="33"/>
    <x v="1"/>
    <x v="0"/>
    <n v="10"/>
    <n v="18000"/>
    <s v="D 80000"/>
    <n v="180000"/>
    <x v="2"/>
    <s v="Dimsum Udang = 18000"/>
    <n v="12"/>
    <s v="Dimsum Udang"/>
  </r>
  <r>
    <x v="34"/>
    <x v="4"/>
    <x v="0"/>
    <n v="20"/>
    <n v="15000"/>
    <s v="D 00000"/>
    <n v="300000"/>
    <x v="2"/>
    <s v="Dimsum Kepiting = 15000"/>
    <n v="15"/>
    <s v="Dimsum Kepiting"/>
  </r>
  <r>
    <x v="35"/>
    <x v="3"/>
    <x v="0"/>
    <n v="6"/>
    <n v="12000"/>
    <s v="D 2000"/>
    <n v="72000"/>
    <x v="1"/>
    <s v="Dimsum Nori = 12000"/>
    <n v="11"/>
    <s v="Dimsum Nori"/>
  </r>
  <r>
    <x v="36"/>
    <x v="0"/>
    <x v="0"/>
    <n v="6"/>
    <n v="20000"/>
    <s v="D 20000"/>
    <n v="120000"/>
    <x v="2"/>
    <s v="Dimsum Ayam = 20000"/>
    <n v="11"/>
    <s v="Dimsum Ayam"/>
  </r>
  <r>
    <x v="11"/>
    <x v="1"/>
    <x v="0"/>
    <n v="10"/>
    <n v="20000"/>
    <s v="D 00000"/>
    <n v="200000"/>
    <x v="2"/>
    <s v="Dimsum Udang = 20000"/>
    <n v="12"/>
    <s v="Dimsum Udang"/>
  </r>
  <r>
    <x v="37"/>
    <x v="0"/>
    <x v="0"/>
    <n v="6"/>
    <n v="12000"/>
    <s v="D 2000"/>
    <n v="72000"/>
    <x v="3"/>
    <s v="Dimsum Ayam = 12000"/>
    <n v="11"/>
    <s v="Dimsum Ayam"/>
  </r>
  <r>
    <x v="23"/>
    <x v="3"/>
    <x v="0"/>
    <n v="6"/>
    <n v="20000"/>
    <s v="D 20000"/>
    <n v="120000"/>
    <x v="1"/>
    <s v="Dimsum Nori = 20000"/>
    <n v="11"/>
    <s v="Dimsum Nori"/>
  </r>
  <r>
    <x v="37"/>
    <x v="3"/>
    <x v="0"/>
    <n v="17"/>
    <n v="20000"/>
    <s v="D 40000"/>
    <n v="340000"/>
    <x v="1"/>
    <s v="Dimsum Nori = 20000"/>
    <n v="11"/>
    <s v="Dimsum Nori"/>
  </r>
  <r>
    <x v="30"/>
    <x v="4"/>
    <x v="0"/>
    <n v="10"/>
    <n v="20000"/>
    <s v="D 00000"/>
    <n v="200000"/>
    <x v="0"/>
    <s v="Dimsum Kepiting = 20000"/>
    <n v="15"/>
    <s v="Dimsum Kepiting"/>
  </r>
  <r>
    <x v="17"/>
    <x v="0"/>
    <x v="0"/>
    <n v="10"/>
    <n v="18000"/>
    <s v="D 80000"/>
    <n v="180000"/>
    <x v="0"/>
    <s v="Dimsum Ayam = 18000"/>
    <n v="11"/>
    <s v="Dimsum Ayam"/>
  </r>
  <r>
    <x v="38"/>
    <x v="3"/>
    <x v="0"/>
    <n v="4"/>
    <n v="12000"/>
    <s v="D 8000"/>
    <n v="48000"/>
    <x v="3"/>
    <s v="Dimsum Nori = 12000"/>
    <n v="11"/>
    <s v="Dimsum Nori"/>
  </r>
  <r>
    <x v="29"/>
    <x v="3"/>
    <x v="0"/>
    <n v="14"/>
    <n v="18000"/>
    <s v="D 52000"/>
    <n v="252000"/>
    <x v="1"/>
    <s v="Dimsum Nori = 18000"/>
    <n v="11"/>
    <s v="Dimsum Nori"/>
  </r>
  <r>
    <x v="14"/>
    <x v="4"/>
    <x v="0"/>
    <n v="17"/>
    <n v="15000"/>
    <s v="D 55000"/>
    <n v="255000"/>
    <x v="1"/>
    <s v="Dimsum Kepiting = 15000"/>
    <n v="15"/>
    <s v="Dimsum Kepiting"/>
  </r>
  <r>
    <x v="39"/>
    <x v="3"/>
    <x v="0"/>
    <n v="16"/>
    <n v="12000"/>
    <s v="D 92000"/>
    <n v="192000"/>
    <x v="0"/>
    <s v="Dimsum Nori = 12000"/>
    <n v="11"/>
    <s v="Dimsum Nori"/>
  </r>
  <r>
    <x v="40"/>
    <x v="3"/>
    <x v="0"/>
    <n v="18"/>
    <n v="20000"/>
    <s v="D 60000"/>
    <n v="360000"/>
    <x v="1"/>
    <s v="Dimsum Nori = 20000"/>
    <n v="11"/>
    <s v="Dimsum Nori"/>
  </r>
  <r>
    <x v="6"/>
    <x v="0"/>
    <x v="0"/>
    <n v="12"/>
    <n v="18000"/>
    <s v="D 16000"/>
    <n v="216000"/>
    <x v="0"/>
    <s v="Dimsum Ayam = 18000"/>
    <n v="11"/>
    <s v="Dimsum Ayam"/>
  </r>
  <r>
    <x v="41"/>
    <x v="2"/>
    <x v="0"/>
    <n v="6"/>
    <n v="18000"/>
    <s v="D 08000"/>
    <n v="108000"/>
    <x v="1"/>
    <s v="Dimsum Ayam Jamur = 18000"/>
    <n v="17"/>
    <s v="Dimsum Ayam Jamur"/>
  </r>
  <r>
    <x v="35"/>
    <x v="0"/>
    <x v="0"/>
    <n v="19"/>
    <n v="20000"/>
    <s v="D 80000"/>
    <n v="380000"/>
    <x v="2"/>
    <s v="Dimsum Ayam = 20000"/>
    <n v="11"/>
    <s v="Dimsum Ayam"/>
  </r>
  <r>
    <x v="42"/>
    <x v="4"/>
    <x v="0"/>
    <n v="3"/>
    <n v="18000"/>
    <s v="D 4000"/>
    <n v="54000"/>
    <x v="0"/>
    <s v="Dimsum Kepiting = 18000"/>
    <n v="15"/>
    <s v="Dimsum Kepiting"/>
  </r>
  <r>
    <x v="43"/>
    <x v="4"/>
    <x v="0"/>
    <n v="10"/>
    <n v="12000"/>
    <s v="D 20000"/>
    <n v="120000"/>
    <x v="0"/>
    <s v="Dimsum Kepiting = 12000"/>
    <n v="15"/>
    <s v="Dimsum Kepiting"/>
  </r>
  <r>
    <x v="44"/>
    <x v="1"/>
    <x v="0"/>
    <n v="2"/>
    <n v="18000"/>
    <s v="D 6000"/>
    <n v="36000"/>
    <x v="2"/>
    <s v="Dimsum Udang = 18000"/>
    <n v="12"/>
    <s v="Dimsum Udang"/>
  </r>
  <r>
    <x v="7"/>
    <x v="2"/>
    <x v="0"/>
    <n v="8"/>
    <n v="18000"/>
    <s v="D 44000"/>
    <n v="144000"/>
    <x v="0"/>
    <s v="Dimsum Ayam Jamur = 18000"/>
    <n v="17"/>
    <s v="Dimsum Ayam Jamur"/>
  </r>
  <r>
    <x v="39"/>
    <x v="4"/>
    <x v="0"/>
    <n v="6"/>
    <n v="18000"/>
    <s v="D 08000"/>
    <n v="108000"/>
    <x v="2"/>
    <s v="Dimsum Kepiting = 18000"/>
    <n v="15"/>
    <s v="Dimsum Kepiting"/>
  </r>
  <r>
    <x v="45"/>
    <x v="2"/>
    <x v="0"/>
    <n v="12"/>
    <n v="18000"/>
    <s v="D 16000"/>
    <n v="216000"/>
    <x v="2"/>
    <s v="Dimsum Ayam Jamur = 18000"/>
    <n v="17"/>
    <s v="Dimsum Ayam Jamur"/>
  </r>
  <r>
    <x v="31"/>
    <x v="1"/>
    <x v="0"/>
    <n v="5"/>
    <n v="12000"/>
    <s v="D 0000"/>
    <n v="60000"/>
    <x v="0"/>
    <s v="Dimsum Udang = 12000"/>
    <n v="12"/>
    <s v="Dimsum Udang"/>
  </r>
  <r>
    <x v="46"/>
    <x v="4"/>
    <x v="0"/>
    <n v="13"/>
    <n v="12000"/>
    <s v="D 56000"/>
    <n v="156000"/>
    <x v="1"/>
    <s v="Dimsum Kepiting = 12000"/>
    <n v="15"/>
    <s v="Dimsum Kepiting"/>
  </r>
  <r>
    <x v="47"/>
    <x v="2"/>
    <x v="0"/>
    <n v="18"/>
    <n v="15000"/>
    <s v="D 70000"/>
    <n v="270000"/>
    <x v="0"/>
    <s v="Dimsum Ayam Jamur = 15000"/>
    <n v="17"/>
    <s v="Dimsum Ayam Jamur"/>
  </r>
  <r>
    <x v="21"/>
    <x v="2"/>
    <x v="0"/>
    <n v="16"/>
    <n v="12000"/>
    <s v="D 92000"/>
    <n v="192000"/>
    <x v="0"/>
    <s v="Dimsum Ayam Jamur = 12000"/>
    <n v="17"/>
    <s v="Dimsum Ayam Jamur"/>
  </r>
  <r>
    <x v="48"/>
    <x v="2"/>
    <x v="0"/>
    <n v="12"/>
    <n v="18000"/>
    <s v="D 16000"/>
    <n v="216000"/>
    <x v="0"/>
    <s v="Dimsum Ayam Jamur = 18000"/>
    <n v="17"/>
    <s v="Dimsum Ayam Jamur"/>
  </r>
  <r>
    <x v="49"/>
    <x v="3"/>
    <x v="0"/>
    <n v="15"/>
    <n v="18000"/>
    <s v="D 70000"/>
    <n v="270000"/>
    <x v="2"/>
    <s v="Dimsum Nori = 18000"/>
    <n v="11"/>
    <s v="Dimsum Nori"/>
  </r>
  <r>
    <x v="50"/>
    <x v="2"/>
    <x v="0"/>
    <n v="12"/>
    <n v="18000"/>
    <s v="D 16000"/>
    <n v="216000"/>
    <x v="1"/>
    <s v="Dimsum Ayam Jamur = 18000"/>
    <n v="17"/>
    <s v="Dimsum Ayam Jamur"/>
  </r>
  <r>
    <x v="51"/>
    <x v="0"/>
    <x v="0"/>
    <n v="7"/>
    <n v="18000"/>
    <s v="D 26000"/>
    <n v="126000"/>
    <x v="0"/>
    <s v="Dimsum Ayam = 18000"/>
    <n v="11"/>
    <s v="Dimsum Ayam"/>
  </r>
  <r>
    <x v="48"/>
    <x v="0"/>
    <x v="0"/>
    <n v="12"/>
    <n v="12000"/>
    <s v="D 44000"/>
    <n v="144000"/>
    <x v="0"/>
    <s v="Dimsum Ayam = 12000"/>
    <n v="11"/>
    <s v="Dimsum Ayam"/>
  </r>
  <r>
    <x v="52"/>
    <x v="2"/>
    <x v="0"/>
    <n v="5"/>
    <n v="12000"/>
    <s v="D 0000"/>
    <n v="60000"/>
    <x v="3"/>
    <s v="Dimsum Ayam Jamur = 12000"/>
    <n v="17"/>
    <s v="Dimsum Ayam Jamur"/>
  </r>
  <r>
    <x v="22"/>
    <x v="1"/>
    <x v="0"/>
    <n v="13"/>
    <n v="15000"/>
    <s v="D 95000"/>
    <n v="195000"/>
    <x v="2"/>
    <s v="Dimsum Udang = 15000"/>
    <n v="12"/>
    <s v="Dimsum Udang"/>
  </r>
  <r>
    <x v="1"/>
    <x v="2"/>
    <x v="0"/>
    <n v="2"/>
    <n v="15000"/>
    <s v="D 0000"/>
    <n v="30000"/>
    <x v="1"/>
    <s v="Dimsum Ayam Jamur = 15000"/>
    <n v="17"/>
    <s v="Dimsum Ayam Jamur"/>
  </r>
  <r>
    <x v="53"/>
    <x v="3"/>
    <x v="0"/>
    <n v="12"/>
    <n v="12000"/>
    <s v="D 44000"/>
    <n v="144000"/>
    <x v="3"/>
    <s v="Dimsum Nori = 12000"/>
    <n v="11"/>
    <s v="Dimsum Nori"/>
  </r>
  <r>
    <x v="20"/>
    <x v="1"/>
    <x v="0"/>
    <n v="8"/>
    <n v="12000"/>
    <s v="D 6000"/>
    <n v="96000"/>
    <x v="0"/>
    <s v="Dimsum Udang = 12000"/>
    <n v="12"/>
    <s v="Dimsum Udang"/>
  </r>
  <r>
    <x v="16"/>
    <x v="4"/>
    <x v="0"/>
    <n v="8"/>
    <n v="15000"/>
    <s v="D 20000"/>
    <n v="120000"/>
    <x v="0"/>
    <s v="Dimsum Kepiting = 15000"/>
    <n v="15"/>
    <s v="Dimsum Kepiting"/>
  </r>
  <r>
    <x v="54"/>
    <x v="3"/>
    <x v="0"/>
    <n v="16"/>
    <n v="18000"/>
    <s v="D 88000"/>
    <n v="288000"/>
    <x v="2"/>
    <s v="Dimsum Nori = 18000"/>
    <n v="11"/>
    <s v="Dimsum Nori"/>
  </r>
  <r>
    <x v="55"/>
    <x v="3"/>
    <x v="0"/>
    <n v="1"/>
    <n v="15000"/>
    <s v="D 5000"/>
    <n v="15000"/>
    <x v="1"/>
    <s v="Dimsum Nori = 15000"/>
    <n v="11"/>
    <s v="Dimsum Nori"/>
  </r>
  <r>
    <x v="56"/>
    <x v="4"/>
    <x v="0"/>
    <n v="19"/>
    <n v="12000"/>
    <s v="D 28000"/>
    <n v="228000"/>
    <x v="0"/>
    <s v="Dimsum Kepiting = 12000"/>
    <n v="15"/>
    <s v="Dimsum Kepiting"/>
  </r>
  <r>
    <x v="39"/>
    <x v="3"/>
    <x v="0"/>
    <n v="18"/>
    <n v="12000"/>
    <s v="D 16000"/>
    <n v="216000"/>
    <x v="1"/>
    <s v="Dimsum Nori = 12000"/>
    <n v="11"/>
    <s v="Dimsum Nori"/>
  </r>
  <r>
    <x v="5"/>
    <x v="1"/>
    <x v="0"/>
    <n v="20"/>
    <n v="18000"/>
    <s v="D 60000"/>
    <n v="360000"/>
    <x v="3"/>
    <s v="Dimsum Udang = 18000"/>
    <n v="12"/>
    <s v="Dimsum Udang"/>
  </r>
  <r>
    <x v="49"/>
    <x v="3"/>
    <x v="0"/>
    <n v="7"/>
    <n v="20000"/>
    <s v="D 40000"/>
    <n v="140000"/>
    <x v="1"/>
    <s v="Dimsum Nori = 20000"/>
    <n v="11"/>
    <s v="Dimsum Nori"/>
  </r>
  <r>
    <x v="34"/>
    <x v="0"/>
    <x v="0"/>
    <n v="13"/>
    <n v="12000"/>
    <s v="D 56000"/>
    <n v="156000"/>
    <x v="1"/>
    <s v="Dimsum Ayam = 12000"/>
    <n v="11"/>
    <s v="Dimsum Ayam"/>
  </r>
  <r>
    <x v="51"/>
    <x v="4"/>
    <x v="0"/>
    <n v="6"/>
    <n v="15000"/>
    <s v="D 0000"/>
    <n v="90000"/>
    <x v="0"/>
    <s v="Dimsum Kepiting = 15000"/>
    <n v="15"/>
    <s v="Dimsum Kepiting"/>
  </r>
  <r>
    <x v="57"/>
    <x v="1"/>
    <x v="0"/>
    <n v="5"/>
    <n v="15000"/>
    <s v="D 5000"/>
    <n v="75000"/>
    <x v="2"/>
    <s v="Dimsum Udang = 15000"/>
    <n v="12"/>
    <s v="Dimsum Udang"/>
  </r>
  <r>
    <x v="33"/>
    <x v="4"/>
    <x v="0"/>
    <n v="17"/>
    <n v="15000"/>
    <s v="D 55000"/>
    <n v="255000"/>
    <x v="1"/>
    <s v="Dimsum Kepiting = 15000"/>
    <n v="15"/>
    <s v="Dimsum Kepiting"/>
  </r>
  <r>
    <x v="39"/>
    <x v="0"/>
    <x v="0"/>
    <n v="16"/>
    <n v="15000"/>
    <s v="D 40000"/>
    <n v="240000"/>
    <x v="0"/>
    <s v="Dimsum Ayam = 15000"/>
    <n v="11"/>
    <s v="Dimsum Ayam"/>
  </r>
  <r>
    <x v="54"/>
    <x v="3"/>
    <x v="0"/>
    <n v="9"/>
    <n v="15000"/>
    <s v="D 35000"/>
    <n v="135000"/>
    <x v="2"/>
    <s v="Dimsum Nori = 15000"/>
    <n v="11"/>
    <s v="Dimsum Nori"/>
  </r>
  <r>
    <x v="0"/>
    <x v="4"/>
    <x v="0"/>
    <n v="5"/>
    <n v="15000"/>
    <s v="D 5000"/>
    <n v="75000"/>
    <x v="2"/>
    <s v="Dimsum Kepiting = 15000"/>
    <n v="15"/>
    <s v="Dimsum Kepiting"/>
  </r>
  <r>
    <x v="37"/>
    <x v="1"/>
    <x v="0"/>
    <n v="1"/>
    <n v="12000"/>
    <s v="D 2000"/>
    <n v="12000"/>
    <x v="3"/>
    <s v="Dimsum Udang = 12000"/>
    <n v="12"/>
    <s v="Dimsum Udang"/>
  </r>
  <r>
    <x v="31"/>
    <x v="0"/>
    <x v="0"/>
    <n v="5"/>
    <n v="12000"/>
    <s v="D 0000"/>
    <n v="60000"/>
    <x v="1"/>
    <s v="Dimsum Ayam = 12000"/>
    <n v="11"/>
    <s v="Dimsum Ayam"/>
  </r>
  <r>
    <x v="42"/>
    <x v="0"/>
    <x v="0"/>
    <n v="12"/>
    <n v="12000"/>
    <s v="D 44000"/>
    <n v="144000"/>
    <x v="0"/>
    <s v="Dimsum Ayam = 12000"/>
    <n v="11"/>
    <s v="Dimsum Ayam"/>
  </r>
  <r>
    <x v="20"/>
    <x v="1"/>
    <x v="0"/>
    <n v="20"/>
    <n v="12000"/>
    <s v="D 40000"/>
    <n v="240000"/>
    <x v="2"/>
    <s v="Dimsum Udang = 12000"/>
    <n v="12"/>
    <s v="Dimsum Udang"/>
  </r>
  <r>
    <x v="16"/>
    <x v="1"/>
    <x v="0"/>
    <n v="4"/>
    <n v="20000"/>
    <s v="D 0000"/>
    <n v="80000"/>
    <x v="3"/>
    <s v="Dimsum Udang = 20000"/>
    <n v="12"/>
    <s v="Dimsum Udang"/>
  </r>
  <r>
    <x v="27"/>
    <x v="3"/>
    <x v="0"/>
    <n v="4"/>
    <n v="20000"/>
    <s v="D 0000"/>
    <n v="80000"/>
    <x v="3"/>
    <s v="Dimsum Nori = 20000"/>
    <n v="11"/>
    <s v="Dimsum Nori"/>
  </r>
  <r>
    <x v="58"/>
    <x v="0"/>
    <x v="0"/>
    <n v="16"/>
    <n v="15000"/>
    <s v="D 40000"/>
    <n v="240000"/>
    <x v="0"/>
    <s v="Dimsum Ayam = 15000"/>
    <n v="11"/>
    <s v="Dimsum Ayam"/>
  </r>
  <r>
    <x v="59"/>
    <x v="2"/>
    <x v="0"/>
    <n v="4"/>
    <n v="15000"/>
    <s v="D 0000"/>
    <n v="60000"/>
    <x v="3"/>
    <s v="Dimsum Ayam Jamur = 15000"/>
    <n v="17"/>
    <s v="Dimsum Ayam Jamur"/>
  </r>
  <r>
    <x v="60"/>
    <x v="1"/>
    <x v="0"/>
    <n v="1"/>
    <n v="12000"/>
    <s v="D 2000"/>
    <n v="12000"/>
    <x v="0"/>
    <s v="Dimsum Udang = 12000"/>
    <n v="12"/>
    <s v="Dimsum Udang"/>
  </r>
  <r>
    <x v="12"/>
    <x v="3"/>
    <x v="0"/>
    <n v="8"/>
    <n v="15000"/>
    <s v="D 20000"/>
    <n v="120000"/>
    <x v="1"/>
    <s v="Dimsum Nori = 15000"/>
    <n v="11"/>
    <s v="Dimsum Nori"/>
  </r>
  <r>
    <x v="11"/>
    <x v="4"/>
    <x v="0"/>
    <n v="8"/>
    <n v="12000"/>
    <s v="D 6000"/>
    <n v="96000"/>
    <x v="2"/>
    <s v="Dimsum Kepiting = 12000"/>
    <n v="15"/>
    <s v="Dimsum Kepiting"/>
  </r>
  <r>
    <x v="61"/>
    <x v="1"/>
    <x v="0"/>
    <n v="20"/>
    <n v="12000"/>
    <s v="D 40000"/>
    <n v="240000"/>
    <x v="1"/>
    <s v="Dimsum Udang = 12000"/>
    <n v="12"/>
    <s v="Dimsum Udang"/>
  </r>
  <r>
    <x v="62"/>
    <x v="2"/>
    <x v="0"/>
    <n v="13"/>
    <n v="15000"/>
    <s v="D 95000"/>
    <n v="195000"/>
    <x v="2"/>
    <s v="Dimsum Ayam Jamur = 15000"/>
    <n v="17"/>
    <s v="Dimsum Ayam Jamur"/>
  </r>
  <r>
    <x v="63"/>
    <x v="2"/>
    <x v="0"/>
    <n v="3"/>
    <n v="18000"/>
    <s v="D 4000"/>
    <n v="54000"/>
    <x v="0"/>
    <s v="Dimsum Ayam Jamur = 18000"/>
    <n v="17"/>
    <s v="Dimsum Ayam Jamur"/>
  </r>
  <r>
    <x v="14"/>
    <x v="2"/>
    <x v="0"/>
    <n v="11"/>
    <n v="18000"/>
    <s v="D 98000"/>
    <n v="198000"/>
    <x v="0"/>
    <s v="Dimsum Ayam Jamur = 18000"/>
    <n v="17"/>
    <s v="Dimsum Ayam Jamur"/>
  </r>
  <r>
    <x v="63"/>
    <x v="0"/>
    <x v="0"/>
    <n v="14"/>
    <n v="20000"/>
    <s v="D 80000"/>
    <n v="280000"/>
    <x v="2"/>
    <s v="Dimsum Ayam = 20000"/>
    <n v="11"/>
    <s v="Dimsum Ayam"/>
  </r>
  <r>
    <x v="0"/>
    <x v="3"/>
    <x v="0"/>
    <n v="1"/>
    <n v="20000"/>
    <s v="D 0000"/>
    <n v="20000"/>
    <x v="2"/>
    <s v="Dimsum Nori = 20000"/>
    <n v="11"/>
    <s v="Dimsum Nori"/>
  </r>
  <r>
    <x v="64"/>
    <x v="1"/>
    <x v="0"/>
    <n v="9"/>
    <n v="12000"/>
    <s v="D 08000"/>
    <n v="108000"/>
    <x v="2"/>
    <s v="Dimsum Udang = 12000"/>
    <n v="12"/>
    <s v="Dimsum Udang"/>
  </r>
  <r>
    <x v="65"/>
    <x v="4"/>
    <x v="0"/>
    <n v="3"/>
    <n v="20000"/>
    <s v="D 0000"/>
    <n v="60000"/>
    <x v="0"/>
    <s v="Dimsum Kepiting = 20000"/>
    <n v="15"/>
    <s v="Dimsum Kepiting"/>
  </r>
  <r>
    <x v="0"/>
    <x v="2"/>
    <x v="0"/>
    <n v="1"/>
    <n v="18000"/>
    <s v="D 8000"/>
    <n v="18000"/>
    <x v="2"/>
    <s v="Dimsum Ayam Jamur = 18000"/>
    <n v="17"/>
    <s v="Dimsum Ayam Jamur"/>
  </r>
  <r>
    <x v="40"/>
    <x v="2"/>
    <x v="0"/>
    <n v="16"/>
    <n v="18000"/>
    <s v="D 88000"/>
    <n v="288000"/>
    <x v="2"/>
    <s v="Dimsum Ayam Jamur = 18000"/>
    <n v="17"/>
    <s v="Dimsum Ayam Jamur"/>
  </r>
  <r>
    <x v="20"/>
    <x v="1"/>
    <x v="0"/>
    <n v="1"/>
    <n v="12000"/>
    <s v="D 2000"/>
    <n v="12000"/>
    <x v="1"/>
    <s v="Dimsum Udang = 12000"/>
    <n v="12"/>
    <s v="Dimsum Udang"/>
  </r>
  <r>
    <x v="36"/>
    <x v="3"/>
    <x v="0"/>
    <n v="5"/>
    <n v="12000"/>
    <s v="D 0000"/>
    <n v="60000"/>
    <x v="1"/>
    <s v="Dimsum Nori = 12000"/>
    <n v="11"/>
    <s v="Dimsum Nori"/>
  </r>
  <r>
    <x v="66"/>
    <x v="0"/>
    <x v="0"/>
    <n v="5"/>
    <n v="20000"/>
    <s v="D 00000"/>
    <n v="100000"/>
    <x v="2"/>
    <s v="Dimsum Ayam = 20000"/>
    <n v="11"/>
    <s v="Dimsum Ayam"/>
  </r>
  <r>
    <x v="14"/>
    <x v="3"/>
    <x v="0"/>
    <n v="16"/>
    <n v="18000"/>
    <s v="D 88000"/>
    <n v="288000"/>
    <x v="3"/>
    <s v="Dimsum Nori = 18000"/>
    <n v="11"/>
    <s v="Dimsum Nori"/>
  </r>
  <r>
    <x v="25"/>
    <x v="0"/>
    <x v="0"/>
    <n v="1"/>
    <n v="15000"/>
    <s v="D 5000"/>
    <n v="15000"/>
    <x v="2"/>
    <s v="Dimsum Ayam = 15000"/>
    <n v="11"/>
    <s v="Dimsum Ayam"/>
  </r>
  <r>
    <x v="25"/>
    <x v="0"/>
    <x v="0"/>
    <n v="17"/>
    <n v="12000"/>
    <s v="D 04000"/>
    <n v="204000"/>
    <x v="2"/>
    <s v="Dimsum Ayam = 12000"/>
    <n v="11"/>
    <s v="Dimsum Ayam"/>
  </r>
  <r>
    <x v="49"/>
    <x v="2"/>
    <x v="0"/>
    <n v="16"/>
    <n v="20000"/>
    <s v="D 20000"/>
    <n v="320000"/>
    <x v="1"/>
    <s v="Dimsum Ayam Jamur = 20000"/>
    <n v="17"/>
    <s v="Dimsum Ayam Jamur"/>
  </r>
  <r>
    <x v="67"/>
    <x v="0"/>
    <x v="0"/>
    <n v="7"/>
    <n v="18000"/>
    <s v="D 26000"/>
    <n v="126000"/>
    <x v="2"/>
    <s v="Dimsum Ayam = 18000"/>
    <n v="11"/>
    <s v="Dimsum Ayam"/>
  </r>
  <r>
    <x v="31"/>
    <x v="0"/>
    <x v="0"/>
    <n v="8"/>
    <n v="18000"/>
    <s v="D 44000"/>
    <n v="144000"/>
    <x v="0"/>
    <s v="Dimsum Ayam = 18000"/>
    <n v="11"/>
    <s v="Dimsum Ayam"/>
  </r>
  <r>
    <x v="68"/>
    <x v="3"/>
    <x v="0"/>
    <n v="6"/>
    <n v="12000"/>
    <s v="D 2000"/>
    <n v="72000"/>
    <x v="2"/>
    <s v="Dimsum Nori = 12000"/>
    <n v="11"/>
    <s v="Dimsum Nori"/>
  </r>
  <r>
    <x v="69"/>
    <x v="2"/>
    <x v="0"/>
    <n v="6"/>
    <n v="15000"/>
    <s v="D 0000"/>
    <n v="90000"/>
    <x v="3"/>
    <s v="Dimsum Ayam Jamur = 15000"/>
    <n v="17"/>
    <s v="Dimsum Ayam Jamur"/>
  </r>
  <r>
    <x v="7"/>
    <x v="1"/>
    <x v="0"/>
    <n v="17"/>
    <n v="15000"/>
    <s v="D 55000"/>
    <n v="255000"/>
    <x v="1"/>
    <s v="Dimsum Udang = 15000"/>
    <n v="12"/>
    <s v="Dimsum Udang"/>
  </r>
  <r>
    <x v="48"/>
    <x v="4"/>
    <x v="0"/>
    <n v="18"/>
    <n v="18000"/>
    <s v="D 24000"/>
    <n v="324000"/>
    <x v="2"/>
    <s v="Dimsum Kepiting = 18000"/>
    <n v="15"/>
    <s v="Dimsum Kepiting"/>
  </r>
  <r>
    <x v="66"/>
    <x v="2"/>
    <x v="0"/>
    <n v="17"/>
    <n v="12000"/>
    <s v="D 04000"/>
    <n v="204000"/>
    <x v="1"/>
    <s v="Dimsum Ayam Jamur = 12000"/>
    <n v="17"/>
    <s v="Dimsum Ayam Jamur"/>
  </r>
  <r>
    <x v="9"/>
    <x v="4"/>
    <x v="0"/>
    <n v="12"/>
    <n v="20000"/>
    <s v="D 40000"/>
    <n v="240000"/>
    <x v="0"/>
    <s v="Dimsum Kepiting = 20000"/>
    <n v="15"/>
    <s v="Dimsum Kepiting"/>
  </r>
  <r>
    <x v="38"/>
    <x v="4"/>
    <x v="0"/>
    <n v="17"/>
    <n v="12000"/>
    <s v="D 04000"/>
    <n v="204000"/>
    <x v="2"/>
    <s v="Dimsum Kepiting = 12000"/>
    <n v="15"/>
    <s v="Dimsum Kepiting"/>
  </r>
  <r>
    <x v="37"/>
    <x v="1"/>
    <x v="0"/>
    <n v="9"/>
    <n v="12000"/>
    <s v="D 08000"/>
    <n v="108000"/>
    <x v="0"/>
    <s v="Dimsum Udang = 12000"/>
    <n v="12"/>
    <s v="Dimsum Udang"/>
  </r>
  <r>
    <x v="70"/>
    <x v="2"/>
    <x v="0"/>
    <n v="17"/>
    <n v="15000"/>
    <s v="D 55000"/>
    <n v="255000"/>
    <x v="0"/>
    <s v="Dimsum Ayam Jamur = 15000"/>
    <n v="17"/>
    <s v="Dimsum Ayam Jamur"/>
  </r>
  <r>
    <x v="36"/>
    <x v="1"/>
    <x v="0"/>
    <n v="16"/>
    <n v="12000"/>
    <s v="D 92000"/>
    <n v="192000"/>
    <x v="2"/>
    <s v="Dimsum Udang = 12000"/>
    <n v="12"/>
    <s v="Dimsum Udang"/>
  </r>
  <r>
    <x v="71"/>
    <x v="1"/>
    <x v="0"/>
    <n v="13"/>
    <n v="15000"/>
    <s v="D 95000"/>
    <n v="195000"/>
    <x v="3"/>
    <s v="Dimsum Udang = 15000"/>
    <n v="12"/>
    <s v="Dimsum Udang"/>
  </r>
  <r>
    <x v="72"/>
    <x v="0"/>
    <x v="0"/>
    <n v="13"/>
    <n v="18000"/>
    <s v="D 34000"/>
    <n v="234000"/>
    <x v="2"/>
    <s v="Dimsum Ayam = 18000"/>
    <n v="11"/>
    <s v="Dimsum Ayam"/>
  </r>
  <r>
    <x v="73"/>
    <x v="4"/>
    <x v="0"/>
    <n v="17"/>
    <n v="12000"/>
    <s v="D 04000"/>
    <n v="204000"/>
    <x v="1"/>
    <s v="Dimsum Kepiting = 12000"/>
    <n v="15"/>
    <s v="Dimsum Kepiting"/>
  </r>
  <r>
    <x v="21"/>
    <x v="3"/>
    <x v="0"/>
    <n v="5"/>
    <n v="15000"/>
    <s v="D 5000"/>
    <n v="75000"/>
    <x v="0"/>
    <s v="Dimsum Nori = 15000"/>
    <n v="11"/>
    <s v="Dimsum Nori"/>
  </r>
  <r>
    <x v="74"/>
    <x v="0"/>
    <x v="0"/>
    <n v="16"/>
    <n v="12000"/>
    <s v="D 92000"/>
    <n v="192000"/>
    <x v="1"/>
    <s v="Dimsum Ayam = 12000"/>
    <n v="11"/>
    <s v="Dimsum Ayam"/>
  </r>
  <r>
    <x v="39"/>
    <x v="1"/>
    <x v="0"/>
    <n v="7"/>
    <n v="18000"/>
    <s v="D 26000"/>
    <n v="126000"/>
    <x v="3"/>
    <s v="Dimsum Udang = 18000"/>
    <n v="12"/>
    <s v="Dimsum Udang"/>
  </r>
  <r>
    <x v="25"/>
    <x v="4"/>
    <x v="0"/>
    <n v="14"/>
    <n v="15000"/>
    <s v="D 10000"/>
    <n v="210000"/>
    <x v="0"/>
    <s v="Dimsum Kepiting = 15000"/>
    <n v="15"/>
    <s v="Dimsum Kepiting"/>
  </r>
  <r>
    <x v="75"/>
    <x v="4"/>
    <x v="0"/>
    <n v="19"/>
    <n v="12000"/>
    <s v="D 28000"/>
    <n v="228000"/>
    <x v="0"/>
    <s v="Dimsum Kepiting = 12000"/>
    <n v="15"/>
    <s v="Dimsum Kepiting"/>
  </r>
  <r>
    <x v="56"/>
    <x v="3"/>
    <x v="0"/>
    <n v="15"/>
    <n v="20000"/>
    <s v="D 00000"/>
    <n v="300000"/>
    <x v="2"/>
    <s v="Dimsum Nori = 20000"/>
    <n v="11"/>
    <s v="Dimsum Nori"/>
  </r>
  <r>
    <x v="76"/>
    <x v="4"/>
    <x v="0"/>
    <n v="5"/>
    <n v="12000"/>
    <s v="D 0000"/>
    <n v="60000"/>
    <x v="0"/>
    <s v="Dimsum Kepiting = 12000"/>
    <n v="15"/>
    <s v="Dimsum Kepiting"/>
  </r>
  <r>
    <x v="19"/>
    <x v="4"/>
    <x v="0"/>
    <n v="18"/>
    <n v="15000"/>
    <s v="D 70000"/>
    <n v="270000"/>
    <x v="1"/>
    <s v="Dimsum Kepiting = 15000"/>
    <n v="15"/>
    <s v="Dimsum Kepiting"/>
  </r>
  <r>
    <x v="29"/>
    <x v="2"/>
    <x v="0"/>
    <n v="7"/>
    <n v="15000"/>
    <s v="D 05000"/>
    <n v="105000"/>
    <x v="0"/>
    <s v="Dimsum Ayam Jamur = 15000"/>
    <n v="17"/>
    <s v="Dimsum Ayam Jamur"/>
  </r>
  <r>
    <x v="7"/>
    <x v="0"/>
    <x v="0"/>
    <n v="15"/>
    <n v="12000"/>
    <s v="D 80000"/>
    <n v="180000"/>
    <x v="2"/>
    <s v="Dimsum Ayam = 12000"/>
    <n v="11"/>
    <s v="Dimsum Ayam"/>
  </r>
  <r>
    <x v="30"/>
    <x v="4"/>
    <x v="0"/>
    <n v="16"/>
    <n v="15000"/>
    <s v="D 40000"/>
    <n v="240000"/>
    <x v="2"/>
    <s v="Dimsum Kepiting = 15000"/>
    <n v="15"/>
    <s v="Dimsum Kepiting"/>
  </r>
  <r>
    <x v="64"/>
    <x v="2"/>
    <x v="0"/>
    <n v="7"/>
    <n v="20000"/>
    <s v="D 40000"/>
    <n v="140000"/>
    <x v="3"/>
    <s v="Dimsum Ayam Jamur = 20000"/>
    <n v="17"/>
    <s v="Dimsum Ayam Jamur"/>
  </r>
  <r>
    <x v="77"/>
    <x v="0"/>
    <x v="0"/>
    <n v="17"/>
    <n v="20000"/>
    <s v="D 40000"/>
    <n v="340000"/>
    <x v="2"/>
    <s v="Dimsum Ayam = 20000"/>
    <n v="11"/>
    <s v="Dimsum Ayam"/>
  </r>
  <r>
    <x v="78"/>
    <x v="3"/>
    <x v="0"/>
    <n v="9"/>
    <n v="18000"/>
    <s v="D 62000"/>
    <n v="162000"/>
    <x v="0"/>
    <s v="Dimsum Nori = 18000"/>
    <n v="11"/>
    <s v="Dimsum Nori"/>
  </r>
  <r>
    <x v="61"/>
    <x v="2"/>
    <x v="0"/>
    <n v="9"/>
    <n v="15000"/>
    <s v="D 35000"/>
    <n v="135000"/>
    <x v="2"/>
    <s v="Dimsum Ayam Jamur = 15000"/>
    <n v="17"/>
    <s v="Dimsum Ayam Jamur"/>
  </r>
  <r>
    <x v="55"/>
    <x v="1"/>
    <x v="0"/>
    <n v="2"/>
    <n v="12000"/>
    <s v="D 4000"/>
    <n v="24000"/>
    <x v="3"/>
    <s v="Dimsum Udang = 12000"/>
    <n v="12"/>
    <s v="Dimsum Udang"/>
  </r>
  <r>
    <x v="8"/>
    <x v="2"/>
    <x v="0"/>
    <n v="2"/>
    <n v="12000"/>
    <s v="D 4000"/>
    <n v="24000"/>
    <x v="2"/>
    <s v="Dimsum Ayam Jamur = 12000"/>
    <n v="17"/>
    <s v="Dimsum Ayam Jamur"/>
  </r>
  <r>
    <x v="65"/>
    <x v="2"/>
    <x v="0"/>
    <n v="10"/>
    <n v="15000"/>
    <s v="D 50000"/>
    <n v="150000"/>
    <x v="1"/>
    <s v="Dimsum Ayam Jamur = 15000"/>
    <n v="17"/>
    <s v="Dimsum Ayam Jamur"/>
  </r>
  <r>
    <x v="7"/>
    <x v="1"/>
    <x v="0"/>
    <n v="2"/>
    <n v="15000"/>
    <s v="D 0000"/>
    <n v="30000"/>
    <x v="0"/>
    <s v="Dimsum Udang = 15000"/>
    <n v="12"/>
    <s v="Dimsum Udang"/>
  </r>
  <r>
    <x v="52"/>
    <x v="0"/>
    <x v="0"/>
    <n v="7"/>
    <n v="12000"/>
    <s v="D 4000"/>
    <n v="84000"/>
    <x v="3"/>
    <s v="Dimsum Ayam = 12000"/>
    <n v="11"/>
    <s v="Dimsum Ayam"/>
  </r>
  <r>
    <x v="60"/>
    <x v="1"/>
    <x v="0"/>
    <n v="1"/>
    <n v="12000"/>
    <s v="D 2000"/>
    <n v="12000"/>
    <x v="2"/>
    <s v="Dimsum Udang = 12000"/>
    <n v="12"/>
    <s v="Dimsum Udang"/>
  </r>
  <r>
    <x v="11"/>
    <x v="2"/>
    <x v="0"/>
    <n v="12"/>
    <n v="20000"/>
    <s v="D 40000"/>
    <n v="240000"/>
    <x v="0"/>
    <s v="Dimsum Ayam Jamur = 20000"/>
    <n v="17"/>
    <s v="Dimsum Ayam Jamur"/>
  </r>
  <r>
    <x v="29"/>
    <x v="4"/>
    <x v="0"/>
    <n v="16"/>
    <n v="12000"/>
    <s v="D 92000"/>
    <n v="192000"/>
    <x v="0"/>
    <s v="Dimsum Kepiting = 12000"/>
    <n v="15"/>
    <s v="Dimsum Kepiting"/>
  </r>
  <r>
    <x v="28"/>
    <x v="0"/>
    <x v="0"/>
    <n v="9"/>
    <n v="20000"/>
    <s v="D 80000"/>
    <n v="180000"/>
    <x v="0"/>
    <s v="Dimsum Ayam = 20000"/>
    <n v="11"/>
    <s v="Dimsum Ayam"/>
  </r>
  <r>
    <x v="15"/>
    <x v="3"/>
    <x v="0"/>
    <n v="14"/>
    <n v="12000"/>
    <s v="D 68000"/>
    <n v="168000"/>
    <x v="3"/>
    <s v="Dimsum Nori = 12000"/>
    <n v="11"/>
    <s v="Dimsum Nori"/>
  </r>
  <r>
    <x v="79"/>
    <x v="4"/>
    <x v="0"/>
    <n v="10"/>
    <n v="15000"/>
    <s v="D 50000"/>
    <n v="150000"/>
    <x v="0"/>
    <s v="Dimsum Kepiting = 15000"/>
    <n v="15"/>
    <s v="Dimsum Kepiting"/>
  </r>
  <r>
    <x v="80"/>
    <x v="1"/>
    <x v="0"/>
    <n v="19"/>
    <n v="18000"/>
    <s v="D 42000"/>
    <n v="342000"/>
    <x v="2"/>
    <s v="Dimsum Udang = 18000"/>
    <n v="12"/>
    <s v="Dimsum Udang"/>
  </r>
  <r>
    <x v="21"/>
    <x v="0"/>
    <x v="0"/>
    <n v="1"/>
    <n v="15000"/>
    <s v="D 5000"/>
    <n v="15000"/>
    <x v="0"/>
    <s v="Dimsum Ayam = 15000"/>
    <n v="11"/>
    <s v="Dimsum Ayam"/>
  </r>
  <r>
    <x v="37"/>
    <x v="1"/>
    <x v="0"/>
    <n v="10"/>
    <n v="15000"/>
    <s v="D 50000"/>
    <n v="150000"/>
    <x v="0"/>
    <s v="Dimsum Udang = 15000"/>
    <n v="12"/>
    <s v="Dimsum Udang"/>
  </r>
  <r>
    <x v="54"/>
    <x v="3"/>
    <x v="0"/>
    <n v="20"/>
    <n v="15000"/>
    <s v="D 00000"/>
    <n v="300000"/>
    <x v="1"/>
    <s v="Dimsum Nori = 15000"/>
    <n v="11"/>
    <s v="Dimsum Nori"/>
  </r>
  <r>
    <x v="73"/>
    <x v="1"/>
    <x v="0"/>
    <n v="8"/>
    <n v="18000"/>
    <s v="D 44000"/>
    <n v="144000"/>
    <x v="0"/>
    <s v="Dimsum Udang = 18000"/>
    <n v="12"/>
    <s v="Dimsum Udang"/>
  </r>
  <r>
    <x v="28"/>
    <x v="4"/>
    <x v="0"/>
    <n v="14"/>
    <n v="18000"/>
    <s v="D 52000"/>
    <n v="252000"/>
    <x v="0"/>
    <s v="Dimsum Kepiting = 18000"/>
    <n v="15"/>
    <s v="Dimsum Kepiting"/>
  </r>
  <r>
    <x v="35"/>
    <x v="3"/>
    <x v="0"/>
    <n v="9"/>
    <n v="12000"/>
    <s v="D 08000"/>
    <n v="108000"/>
    <x v="3"/>
    <s v="Dimsum Nori = 12000"/>
    <n v="11"/>
    <s v="Dimsum Nori"/>
  </r>
  <r>
    <x v="13"/>
    <x v="2"/>
    <x v="0"/>
    <n v="6"/>
    <n v="15000"/>
    <s v="D 0000"/>
    <n v="90000"/>
    <x v="1"/>
    <s v="Dimsum Ayam Jamur = 15000"/>
    <n v="17"/>
    <s v="Dimsum Ayam Jamur"/>
  </r>
  <r>
    <x v="75"/>
    <x v="3"/>
    <x v="0"/>
    <n v="13"/>
    <n v="15000"/>
    <s v="D 95000"/>
    <n v="195000"/>
    <x v="1"/>
    <s v="Dimsum Nori = 15000"/>
    <n v="11"/>
    <s v="Dimsum Nori"/>
  </r>
  <r>
    <x v="16"/>
    <x v="3"/>
    <x v="0"/>
    <n v="6"/>
    <n v="12000"/>
    <s v="D 2000"/>
    <n v="72000"/>
    <x v="1"/>
    <s v="Dimsum Nori = 12000"/>
    <n v="11"/>
    <s v="Dimsum Nori"/>
  </r>
  <r>
    <x v="81"/>
    <x v="1"/>
    <x v="0"/>
    <n v="7"/>
    <n v="18000"/>
    <s v="D 26000"/>
    <n v="126000"/>
    <x v="1"/>
    <s v="Dimsum Udang = 18000"/>
    <n v="12"/>
    <s v="Dimsum Udang"/>
  </r>
  <r>
    <x v="58"/>
    <x v="3"/>
    <x v="0"/>
    <n v="1"/>
    <n v="12000"/>
    <s v="D 2000"/>
    <n v="12000"/>
    <x v="2"/>
    <s v="Dimsum Nori = 12000"/>
    <n v="11"/>
    <s v="Dimsum Nori"/>
  </r>
  <r>
    <x v="31"/>
    <x v="3"/>
    <x v="0"/>
    <n v="15"/>
    <n v="20000"/>
    <s v="D 00000"/>
    <n v="300000"/>
    <x v="1"/>
    <s v="Dimsum Nori = 20000"/>
    <n v="11"/>
    <s v="Dimsum Nori"/>
  </r>
  <r>
    <x v="23"/>
    <x v="0"/>
    <x v="0"/>
    <n v="18"/>
    <n v="12000"/>
    <s v="D 16000"/>
    <n v="216000"/>
    <x v="0"/>
    <s v="Dimsum Ayam = 12000"/>
    <n v="11"/>
    <s v="Dimsum Ayam"/>
  </r>
  <r>
    <x v="34"/>
    <x v="4"/>
    <x v="0"/>
    <n v="2"/>
    <n v="12000"/>
    <s v="D 4000"/>
    <n v="24000"/>
    <x v="0"/>
    <s v="Dimsum Kepiting = 12000"/>
    <n v="15"/>
    <s v="Dimsum Kepiting"/>
  </r>
  <r>
    <x v="18"/>
    <x v="2"/>
    <x v="0"/>
    <n v="5"/>
    <n v="15000"/>
    <s v="D 5000"/>
    <n v="75000"/>
    <x v="0"/>
    <s v="Dimsum Ayam Jamur = 15000"/>
    <n v="17"/>
    <s v="Dimsum Ayam Jamur"/>
  </r>
  <r>
    <x v="48"/>
    <x v="4"/>
    <x v="0"/>
    <n v="1"/>
    <n v="15000"/>
    <s v="D 5000"/>
    <n v="15000"/>
    <x v="0"/>
    <s v="Dimsum Kepiting = 15000"/>
    <n v="15"/>
    <s v="Dimsum Kepiting"/>
  </r>
  <r>
    <x v="57"/>
    <x v="1"/>
    <x v="0"/>
    <n v="3"/>
    <n v="18000"/>
    <s v="D 4000"/>
    <n v="54000"/>
    <x v="2"/>
    <s v="Dimsum Udang = 18000"/>
    <n v="12"/>
    <s v="Dimsum Udang"/>
  </r>
  <r>
    <x v="2"/>
    <x v="3"/>
    <x v="0"/>
    <n v="1"/>
    <n v="20000"/>
    <s v="D 0000"/>
    <n v="20000"/>
    <x v="2"/>
    <s v="Dimsum Nori = 20000"/>
    <n v="11"/>
    <s v="Dimsum Nori"/>
  </r>
  <r>
    <x v="20"/>
    <x v="1"/>
    <x v="0"/>
    <n v="10"/>
    <n v="12000"/>
    <s v="D 20000"/>
    <n v="120000"/>
    <x v="1"/>
    <s v="Dimsum Udang = 12000"/>
    <n v="12"/>
    <s v="Dimsum Udang"/>
  </r>
  <r>
    <x v="82"/>
    <x v="1"/>
    <x v="0"/>
    <n v="1"/>
    <n v="12000"/>
    <s v="D 2000"/>
    <n v="12000"/>
    <x v="0"/>
    <s v="Dimsum Udang = 12000"/>
    <n v="12"/>
    <s v="Dimsum Udang"/>
  </r>
  <r>
    <x v="9"/>
    <x v="4"/>
    <x v="0"/>
    <n v="1"/>
    <n v="18000"/>
    <s v="D 8000"/>
    <n v="18000"/>
    <x v="1"/>
    <s v="Dimsum Kepiting = 18000"/>
    <n v="15"/>
    <s v="Dimsum Kepiting"/>
  </r>
  <r>
    <x v="40"/>
    <x v="1"/>
    <x v="0"/>
    <n v="4"/>
    <n v="20000"/>
    <s v="D 0000"/>
    <n v="80000"/>
    <x v="0"/>
    <s v="Dimsum Udang = 20000"/>
    <n v="12"/>
    <s v="Dimsum Udang"/>
  </r>
  <r>
    <x v="80"/>
    <x v="4"/>
    <x v="0"/>
    <n v="9"/>
    <n v="20000"/>
    <s v="D 80000"/>
    <n v="180000"/>
    <x v="2"/>
    <s v="Dimsum Kepiting = 20000"/>
    <n v="15"/>
    <s v="Dimsum Kepiting"/>
  </r>
  <r>
    <x v="4"/>
    <x v="2"/>
    <x v="0"/>
    <n v="4"/>
    <n v="20000"/>
    <s v="D 0000"/>
    <n v="80000"/>
    <x v="0"/>
    <s v="Dimsum Ayam Jamur = 20000"/>
    <n v="17"/>
    <s v="Dimsum Ayam Jamur"/>
  </r>
  <r>
    <x v="34"/>
    <x v="3"/>
    <x v="0"/>
    <n v="11"/>
    <n v="20000"/>
    <s v="D 20000"/>
    <n v="220000"/>
    <x v="2"/>
    <s v="Dimsum Nori = 20000"/>
    <n v="11"/>
    <s v="Dimsum Nori"/>
  </r>
  <r>
    <x v="46"/>
    <x v="0"/>
    <x v="0"/>
    <n v="20"/>
    <n v="15000"/>
    <s v="D 00000"/>
    <n v="300000"/>
    <x v="0"/>
    <s v="Dimsum Ayam = 15000"/>
    <n v="11"/>
    <s v="Dimsum Ayam"/>
  </r>
  <r>
    <x v="2"/>
    <x v="1"/>
    <x v="0"/>
    <n v="11"/>
    <n v="20000"/>
    <s v="D 20000"/>
    <n v="220000"/>
    <x v="3"/>
    <s v="Dimsum Udang = 20000"/>
    <n v="12"/>
    <s v="Dimsum Udang"/>
  </r>
  <r>
    <x v="20"/>
    <x v="1"/>
    <x v="0"/>
    <n v="8"/>
    <n v="18000"/>
    <s v="D 44000"/>
    <n v="144000"/>
    <x v="3"/>
    <s v="Dimsum Udang = 18000"/>
    <n v="12"/>
    <s v="Dimsum Udang"/>
  </r>
  <r>
    <x v="56"/>
    <x v="4"/>
    <x v="0"/>
    <n v="9"/>
    <n v="15000"/>
    <s v="D 35000"/>
    <n v="135000"/>
    <x v="0"/>
    <s v="Dimsum Kepiting = 15000"/>
    <n v="15"/>
    <s v="Dimsum Kepiting"/>
  </r>
  <r>
    <x v="43"/>
    <x v="2"/>
    <x v="0"/>
    <n v="20"/>
    <n v="18000"/>
    <s v="D 60000"/>
    <n v="360000"/>
    <x v="2"/>
    <s v="Dimsum Ayam Jamur = 18000"/>
    <n v="17"/>
    <s v="Dimsum Ayam Jamur"/>
  </r>
  <r>
    <x v="66"/>
    <x v="0"/>
    <x v="0"/>
    <n v="4"/>
    <n v="18000"/>
    <s v="D 2000"/>
    <n v="72000"/>
    <x v="0"/>
    <s v="Dimsum Ayam = 18000"/>
    <n v="11"/>
    <s v="Dimsum Ayam"/>
  </r>
  <r>
    <x v="58"/>
    <x v="4"/>
    <x v="0"/>
    <n v="11"/>
    <n v="18000"/>
    <s v="D 98000"/>
    <n v="198000"/>
    <x v="2"/>
    <s v="Dimsum Kepiting = 18000"/>
    <n v="15"/>
    <s v="Dimsum Kepiting"/>
  </r>
  <r>
    <x v="40"/>
    <x v="0"/>
    <x v="0"/>
    <n v="15"/>
    <n v="15000"/>
    <s v="D 25000"/>
    <n v="225000"/>
    <x v="2"/>
    <s v="Dimsum Ayam = 15000"/>
    <n v="11"/>
    <s v="Dimsum Ayam"/>
  </r>
  <r>
    <x v="68"/>
    <x v="1"/>
    <x v="0"/>
    <n v="14"/>
    <n v="15000"/>
    <s v="D 10000"/>
    <n v="210000"/>
    <x v="3"/>
    <s v="Dimsum Udang = 15000"/>
    <n v="12"/>
    <s v="Dimsum Udang"/>
  </r>
  <r>
    <x v="28"/>
    <x v="1"/>
    <x v="0"/>
    <n v="5"/>
    <n v="18000"/>
    <s v="D 0000"/>
    <n v="90000"/>
    <x v="2"/>
    <s v="Dimsum Udang = 18000"/>
    <n v="12"/>
    <s v="Dimsum Udang"/>
  </r>
  <r>
    <x v="49"/>
    <x v="1"/>
    <x v="0"/>
    <n v="16"/>
    <n v="15000"/>
    <s v="D 40000"/>
    <n v="240000"/>
    <x v="3"/>
    <s v="Dimsum Udang = 15000"/>
    <n v="12"/>
    <s v="Dimsum Udang"/>
  </r>
  <r>
    <x v="43"/>
    <x v="4"/>
    <x v="0"/>
    <n v="6"/>
    <n v="12000"/>
    <s v="D 2000"/>
    <n v="72000"/>
    <x v="0"/>
    <s v="Dimsum Kepiting = 12000"/>
    <n v="15"/>
    <s v="Dimsum Kepiting"/>
  </r>
  <r>
    <x v="4"/>
    <x v="2"/>
    <x v="0"/>
    <n v="16"/>
    <n v="12000"/>
    <s v="D 92000"/>
    <n v="192000"/>
    <x v="3"/>
    <s v="Dimsum Ayam Jamur = 12000"/>
    <n v="17"/>
    <s v="Dimsum Ayam Jamur"/>
  </r>
  <r>
    <x v="38"/>
    <x v="3"/>
    <x v="0"/>
    <n v="11"/>
    <n v="12000"/>
    <s v="D 32000"/>
    <n v="132000"/>
    <x v="1"/>
    <s v="Dimsum Nori = 12000"/>
    <n v="11"/>
    <s v="Dimsum Nori"/>
  </r>
  <r>
    <x v="58"/>
    <x v="0"/>
    <x v="0"/>
    <n v="14"/>
    <n v="20000"/>
    <s v="D 80000"/>
    <n v="280000"/>
    <x v="3"/>
    <s v="Dimsum Ayam = 20000"/>
    <n v="11"/>
    <s v="Dimsum Ayam"/>
  </r>
  <r>
    <x v="82"/>
    <x v="2"/>
    <x v="0"/>
    <n v="11"/>
    <n v="18000"/>
    <s v="D 98000"/>
    <n v="198000"/>
    <x v="0"/>
    <s v="Dimsum Ayam Jamur = 18000"/>
    <n v="17"/>
    <s v="Dimsum Ayam Jamur"/>
  </r>
  <r>
    <x v="36"/>
    <x v="4"/>
    <x v="0"/>
    <n v="20"/>
    <n v="20000"/>
    <s v="D 00000"/>
    <n v="400000"/>
    <x v="0"/>
    <s v="Dimsum Kepiting = 20000"/>
    <n v="15"/>
    <s v="Dimsum Kepiting"/>
  </r>
  <r>
    <x v="52"/>
    <x v="0"/>
    <x v="0"/>
    <n v="11"/>
    <n v="12000"/>
    <s v="D 32000"/>
    <n v="132000"/>
    <x v="0"/>
    <s v="Dimsum Ayam = 12000"/>
    <n v="11"/>
    <s v="Dimsum Ayam"/>
  </r>
  <r>
    <x v="60"/>
    <x v="3"/>
    <x v="0"/>
    <n v="6"/>
    <n v="18000"/>
    <s v="D 08000"/>
    <n v="108000"/>
    <x v="1"/>
    <s v="Dimsum Nori = 18000"/>
    <n v="11"/>
    <s v="Dimsum Nori"/>
  </r>
  <r>
    <x v="54"/>
    <x v="2"/>
    <x v="0"/>
    <n v="15"/>
    <n v="15000"/>
    <s v="D 25000"/>
    <n v="225000"/>
    <x v="0"/>
    <s v="Dimsum Ayam Jamur = 15000"/>
    <n v="17"/>
    <s v="Dimsum Ayam Jamur"/>
  </r>
  <r>
    <x v="61"/>
    <x v="0"/>
    <x v="0"/>
    <n v="12"/>
    <n v="20000"/>
    <s v="D 40000"/>
    <n v="240000"/>
    <x v="0"/>
    <s v="Dimsum Ayam = 20000"/>
    <n v="11"/>
    <s v="Dimsum Ayam"/>
  </r>
  <r>
    <x v="10"/>
    <x v="4"/>
    <x v="0"/>
    <n v="17"/>
    <n v="15000"/>
    <s v="D 55000"/>
    <n v="255000"/>
    <x v="1"/>
    <s v="Dimsum Kepiting = 15000"/>
    <n v="15"/>
    <s v="Dimsum Kepiting"/>
  </r>
  <r>
    <x v="83"/>
    <x v="2"/>
    <x v="0"/>
    <n v="8"/>
    <n v="20000"/>
    <s v="D 60000"/>
    <n v="160000"/>
    <x v="2"/>
    <s v="Dimsum Ayam Jamur = 20000"/>
    <n v="17"/>
    <s v="Dimsum Ayam Jamur"/>
  </r>
  <r>
    <x v="32"/>
    <x v="3"/>
    <x v="0"/>
    <n v="13"/>
    <n v="18000"/>
    <s v="D 34000"/>
    <n v="234000"/>
    <x v="0"/>
    <s v="Dimsum Nori = 18000"/>
    <n v="11"/>
    <s v="Dimsum Nori"/>
  </r>
  <r>
    <x v="49"/>
    <x v="0"/>
    <x v="0"/>
    <n v="8"/>
    <n v="15000"/>
    <s v="D 20000"/>
    <n v="120000"/>
    <x v="0"/>
    <s v="Dimsum Ayam = 15000"/>
    <n v="11"/>
    <s v="Dimsum Ayam"/>
  </r>
  <r>
    <x v="16"/>
    <x v="0"/>
    <x v="0"/>
    <n v="15"/>
    <n v="12000"/>
    <s v="D 80000"/>
    <n v="180000"/>
    <x v="1"/>
    <s v="Dimsum Ayam = 12000"/>
    <n v="11"/>
    <s v="Dimsum Ayam"/>
  </r>
  <r>
    <x v="13"/>
    <x v="3"/>
    <x v="0"/>
    <n v="1"/>
    <n v="18000"/>
    <s v="D 8000"/>
    <n v="18000"/>
    <x v="3"/>
    <s v="Dimsum Nori = 18000"/>
    <n v="11"/>
    <s v="Dimsum Nori"/>
  </r>
  <r>
    <x v="62"/>
    <x v="4"/>
    <x v="0"/>
    <n v="1"/>
    <n v="15000"/>
    <s v="D 5000"/>
    <n v="15000"/>
    <x v="2"/>
    <s v="Dimsum Kepiting = 15000"/>
    <n v="15"/>
    <s v="Dimsum Kepiting"/>
  </r>
  <r>
    <x v="20"/>
    <x v="2"/>
    <x v="0"/>
    <n v="2"/>
    <n v="18000"/>
    <s v="D 6000"/>
    <n v="36000"/>
    <x v="2"/>
    <s v="Dimsum Ayam Jamur = 18000"/>
    <n v="17"/>
    <s v="Dimsum Ayam Jamur"/>
  </r>
  <r>
    <x v="8"/>
    <x v="2"/>
    <x v="0"/>
    <n v="12"/>
    <n v="12000"/>
    <s v="D 44000"/>
    <n v="144000"/>
    <x v="0"/>
    <s v="Dimsum Ayam Jamur = 12000"/>
    <n v="17"/>
    <s v="Dimsum Ayam Jamur"/>
  </r>
  <r>
    <x v="82"/>
    <x v="0"/>
    <x v="0"/>
    <n v="15"/>
    <n v="12000"/>
    <s v="D 80000"/>
    <n v="180000"/>
    <x v="2"/>
    <s v="Dimsum Ayam = 12000"/>
    <n v="11"/>
    <s v="Dimsum Ayam"/>
  </r>
  <r>
    <x v="29"/>
    <x v="0"/>
    <x v="0"/>
    <n v="6"/>
    <n v="15000"/>
    <s v="D 0000"/>
    <n v="90000"/>
    <x v="0"/>
    <s v="Dimsum Ayam = 15000"/>
    <n v="11"/>
    <s v="Dimsum Ayam"/>
  </r>
  <r>
    <x v="67"/>
    <x v="2"/>
    <x v="0"/>
    <n v="18"/>
    <n v="18000"/>
    <s v="D 24000"/>
    <n v="324000"/>
    <x v="3"/>
    <s v="Dimsum Ayam Jamur = 18000"/>
    <n v="17"/>
    <s v="Dimsum Ayam Jamur"/>
  </r>
  <r>
    <x v="84"/>
    <x v="1"/>
    <x v="0"/>
    <n v="4"/>
    <n v="18000"/>
    <s v="D 2000"/>
    <n v="72000"/>
    <x v="0"/>
    <s v="Dimsum Udang = 18000"/>
    <n v="12"/>
    <s v="Dimsum Udang"/>
  </r>
  <r>
    <x v="60"/>
    <x v="3"/>
    <x v="0"/>
    <n v="6"/>
    <n v="18000"/>
    <s v="D 08000"/>
    <n v="108000"/>
    <x v="1"/>
    <s v="Dimsum Nori = 18000"/>
    <n v="11"/>
    <s v="Dimsum Nori"/>
  </r>
  <r>
    <x v="85"/>
    <x v="4"/>
    <x v="0"/>
    <n v="1"/>
    <n v="15000"/>
    <s v="D 5000"/>
    <n v="15000"/>
    <x v="1"/>
    <s v="Dimsum Kepiting = 15000"/>
    <n v="15"/>
    <s v="Dimsum Kepiting"/>
  </r>
  <r>
    <x v="52"/>
    <x v="0"/>
    <x v="0"/>
    <n v="6"/>
    <n v="20000"/>
    <s v="D 20000"/>
    <n v="120000"/>
    <x v="3"/>
    <s v="Dimsum Ayam = 20000"/>
    <n v="11"/>
    <s v="Dimsum Ayam"/>
  </r>
  <r>
    <x v="4"/>
    <x v="4"/>
    <x v="0"/>
    <n v="17"/>
    <n v="18000"/>
    <s v="D 06000"/>
    <n v="306000"/>
    <x v="0"/>
    <s v="Dimsum Kepiting = 18000"/>
    <n v="15"/>
    <s v="Dimsum Kepiting"/>
  </r>
  <r>
    <x v="35"/>
    <x v="4"/>
    <x v="0"/>
    <n v="11"/>
    <n v="12000"/>
    <s v="D 32000"/>
    <n v="132000"/>
    <x v="3"/>
    <s v="Dimsum Kepiting = 12000"/>
    <n v="15"/>
    <s v="Dimsum Kepiting"/>
  </r>
  <r>
    <x v="31"/>
    <x v="2"/>
    <x v="0"/>
    <n v="19"/>
    <n v="20000"/>
    <s v="D 80000"/>
    <n v="380000"/>
    <x v="3"/>
    <s v="Dimsum Ayam Jamur = 20000"/>
    <n v="17"/>
    <s v="Dimsum Ayam Jamur"/>
  </r>
  <r>
    <x v="17"/>
    <x v="1"/>
    <x v="0"/>
    <n v="1"/>
    <n v="20000"/>
    <s v="D 0000"/>
    <n v="20000"/>
    <x v="2"/>
    <s v="Dimsum Udang = 20000"/>
    <n v="12"/>
    <s v="Dimsum Udang"/>
  </r>
  <r>
    <x v="86"/>
    <x v="2"/>
    <x v="0"/>
    <n v="20"/>
    <n v="18000"/>
    <s v="D 60000"/>
    <n v="360000"/>
    <x v="2"/>
    <s v="Dimsum Ayam Jamur = 18000"/>
    <n v="17"/>
    <s v="Dimsum Ayam Jamur"/>
  </r>
  <r>
    <x v="73"/>
    <x v="2"/>
    <x v="0"/>
    <n v="13"/>
    <n v="20000"/>
    <s v="D 60000"/>
    <n v="260000"/>
    <x v="2"/>
    <s v="Dimsum Ayam Jamur = 20000"/>
    <n v="17"/>
    <s v="Dimsum Ayam Jamur"/>
  </r>
  <r>
    <x v="64"/>
    <x v="3"/>
    <x v="0"/>
    <n v="11"/>
    <n v="20000"/>
    <s v="D 20000"/>
    <n v="220000"/>
    <x v="1"/>
    <s v="Dimsum Nori = 20000"/>
    <n v="11"/>
    <s v="Dimsum Nori"/>
  </r>
  <r>
    <x v="54"/>
    <x v="1"/>
    <x v="0"/>
    <n v="12"/>
    <n v="15000"/>
    <s v="D 80000"/>
    <n v="180000"/>
    <x v="2"/>
    <s v="Dimsum Udang = 15000"/>
    <n v="12"/>
    <s v="Dimsum Udang"/>
  </r>
  <r>
    <x v="87"/>
    <x v="4"/>
    <x v="0"/>
    <n v="6"/>
    <n v="18000"/>
    <s v="D 08000"/>
    <n v="108000"/>
    <x v="1"/>
    <s v="Dimsum Kepiting = 18000"/>
    <n v="15"/>
    <s v="Dimsum Kepiting"/>
  </r>
  <r>
    <x v="74"/>
    <x v="2"/>
    <x v="0"/>
    <n v="9"/>
    <n v="20000"/>
    <s v="D 80000"/>
    <n v="180000"/>
    <x v="2"/>
    <s v="Dimsum Ayam Jamur = 20000"/>
    <n v="17"/>
    <s v="Dimsum Ayam Jamur"/>
  </r>
  <r>
    <x v="5"/>
    <x v="3"/>
    <x v="0"/>
    <n v="5"/>
    <n v="12000"/>
    <s v="D 0000"/>
    <n v="60000"/>
    <x v="1"/>
    <s v="Dimsum Nori = 12000"/>
    <n v="11"/>
    <s v="Dimsum Nori"/>
  </r>
  <r>
    <x v="10"/>
    <x v="0"/>
    <x v="0"/>
    <n v="5"/>
    <n v="12000"/>
    <s v="D 0000"/>
    <n v="60000"/>
    <x v="3"/>
    <s v="Dimsum Ayam = 12000"/>
    <n v="11"/>
    <s v="Dimsum Ayam"/>
  </r>
  <r>
    <x v="55"/>
    <x v="1"/>
    <x v="0"/>
    <n v="6"/>
    <n v="20000"/>
    <s v="D 20000"/>
    <n v="120000"/>
    <x v="0"/>
    <s v="Dimsum Udang = 20000"/>
    <n v="12"/>
    <s v="Dimsum Udang"/>
  </r>
  <r>
    <x v="5"/>
    <x v="4"/>
    <x v="0"/>
    <n v="18"/>
    <n v="20000"/>
    <s v="D 60000"/>
    <n v="360000"/>
    <x v="3"/>
    <s v="Dimsum Kepiting = 20000"/>
    <n v="15"/>
    <s v="Dimsum Kepiting"/>
  </r>
  <r>
    <x v="4"/>
    <x v="4"/>
    <x v="0"/>
    <n v="20"/>
    <n v="12000"/>
    <s v="D 40000"/>
    <n v="240000"/>
    <x v="1"/>
    <s v="Dimsum Kepiting = 12000"/>
    <n v="15"/>
    <s v="Dimsum Kepiting"/>
  </r>
  <r>
    <x v="43"/>
    <x v="3"/>
    <x v="0"/>
    <n v="7"/>
    <n v="20000"/>
    <s v="D 40000"/>
    <n v="140000"/>
    <x v="1"/>
    <s v="Dimsum Nori = 20000"/>
    <n v="11"/>
    <s v="Dimsum Nori"/>
  </r>
  <r>
    <x v="51"/>
    <x v="1"/>
    <x v="0"/>
    <n v="12"/>
    <n v="12000"/>
    <s v="D 44000"/>
    <n v="144000"/>
    <x v="0"/>
    <s v="Dimsum Udang = 12000"/>
    <n v="12"/>
    <s v="Dimsum Udang"/>
  </r>
  <r>
    <x v="61"/>
    <x v="0"/>
    <x v="0"/>
    <n v="13"/>
    <n v="20000"/>
    <s v="D 60000"/>
    <n v="260000"/>
    <x v="2"/>
    <s v="Dimsum Ayam = 20000"/>
    <n v="11"/>
    <s v="Dimsum Ayam"/>
  </r>
  <r>
    <x v="56"/>
    <x v="3"/>
    <x v="0"/>
    <n v="13"/>
    <n v="18000"/>
    <s v="D 34000"/>
    <n v="234000"/>
    <x v="0"/>
    <s v="Dimsum Nori = 18000"/>
    <n v="11"/>
    <s v="Dimsum Nori"/>
  </r>
  <r>
    <x v="79"/>
    <x v="0"/>
    <x v="0"/>
    <n v="12"/>
    <n v="15000"/>
    <s v="D 80000"/>
    <n v="180000"/>
    <x v="1"/>
    <s v="Dimsum Ayam = 15000"/>
    <n v="11"/>
    <s v="Dimsum Ayam"/>
  </r>
  <r>
    <x v="59"/>
    <x v="4"/>
    <x v="0"/>
    <n v="9"/>
    <n v="20000"/>
    <s v="D 80000"/>
    <n v="180000"/>
    <x v="3"/>
    <s v="Dimsum Kepiting = 20000"/>
    <n v="15"/>
    <s v="Dimsum Kepiting"/>
  </r>
  <r>
    <x v="29"/>
    <x v="2"/>
    <x v="0"/>
    <n v="4"/>
    <n v="15000"/>
    <s v="D 0000"/>
    <n v="60000"/>
    <x v="2"/>
    <s v="Dimsum Ayam Jamur = 15000"/>
    <n v="17"/>
    <s v="Dimsum Ayam Jamur"/>
  </r>
  <r>
    <x v="4"/>
    <x v="3"/>
    <x v="0"/>
    <n v="5"/>
    <n v="20000"/>
    <s v="D 00000"/>
    <n v="100000"/>
    <x v="0"/>
    <s v="Dimsum Nori = 20000"/>
    <n v="11"/>
    <s v="Dimsum Nori"/>
  </r>
  <r>
    <x v="74"/>
    <x v="0"/>
    <x v="0"/>
    <n v="6"/>
    <n v="12000"/>
    <s v="D 2000"/>
    <n v="72000"/>
    <x v="1"/>
    <s v="Dimsum Ayam = 12000"/>
    <n v="11"/>
    <s v="Dimsum Ayam"/>
  </r>
  <r>
    <x v="46"/>
    <x v="1"/>
    <x v="0"/>
    <n v="12"/>
    <n v="18000"/>
    <s v="D 16000"/>
    <n v="216000"/>
    <x v="0"/>
    <s v="Dimsum Udang = 18000"/>
    <n v="12"/>
    <s v="Dimsum Udang"/>
  </r>
  <r>
    <x v="39"/>
    <x v="2"/>
    <x v="0"/>
    <n v="1"/>
    <n v="18000"/>
    <s v="D 8000"/>
    <n v="18000"/>
    <x v="3"/>
    <s v="Dimsum Ayam Jamur = 18000"/>
    <n v="17"/>
    <s v="Dimsum Ayam Jamur"/>
  </r>
  <r>
    <x v="88"/>
    <x v="1"/>
    <x v="0"/>
    <n v="13"/>
    <n v="15000"/>
    <s v="D 95000"/>
    <n v="195000"/>
    <x v="1"/>
    <s v="Dimsum Udang = 15000"/>
    <n v="12"/>
    <s v="Dimsum Udang"/>
  </r>
  <r>
    <x v="64"/>
    <x v="1"/>
    <x v="0"/>
    <n v="2"/>
    <n v="18000"/>
    <s v="D 6000"/>
    <n v="36000"/>
    <x v="0"/>
    <s v="Dimsum Udang = 18000"/>
    <n v="12"/>
    <s v="Dimsum Udang"/>
  </r>
  <r>
    <x v="32"/>
    <x v="4"/>
    <x v="0"/>
    <n v="2"/>
    <n v="15000"/>
    <s v="D 0000"/>
    <n v="30000"/>
    <x v="3"/>
    <s v="Dimsum Kepiting = 15000"/>
    <n v="15"/>
    <s v="Dimsum Kepiting"/>
  </r>
  <r>
    <x v="45"/>
    <x v="4"/>
    <x v="0"/>
    <n v="8"/>
    <n v="20000"/>
    <s v="D 60000"/>
    <n v="160000"/>
    <x v="1"/>
    <s v="Dimsum Kepiting = 20000"/>
    <n v="15"/>
    <s v="Dimsum Kepiting"/>
  </r>
  <r>
    <x v="61"/>
    <x v="3"/>
    <x v="0"/>
    <n v="8"/>
    <n v="12000"/>
    <s v="D 6000"/>
    <n v="96000"/>
    <x v="2"/>
    <s v="Dimsum Nori = 12000"/>
    <n v="11"/>
    <s v="Dimsum Nori"/>
  </r>
  <r>
    <x v="60"/>
    <x v="2"/>
    <x v="0"/>
    <n v="3"/>
    <n v="20000"/>
    <s v="D 0000"/>
    <n v="60000"/>
    <x v="2"/>
    <s v="Dimsum Ayam Jamur = 20000"/>
    <n v="17"/>
    <s v="Dimsum Ayam Jamur"/>
  </r>
  <r>
    <x v="89"/>
    <x v="0"/>
    <x v="0"/>
    <n v="3"/>
    <n v="15000"/>
    <s v="D 5000"/>
    <n v="45000"/>
    <x v="0"/>
    <s v="Dimsum Ayam = 15000"/>
    <n v="11"/>
    <s v="Dimsum Ayam"/>
  </r>
  <r>
    <x v="12"/>
    <x v="2"/>
    <x v="0"/>
    <n v="20"/>
    <n v="12000"/>
    <s v="D 40000"/>
    <n v="240000"/>
    <x v="3"/>
    <s v="Dimsum Ayam Jamur = 12000"/>
    <n v="17"/>
    <s v="Dimsum Ayam Jamur"/>
  </r>
  <r>
    <x v="84"/>
    <x v="0"/>
    <x v="0"/>
    <n v="1"/>
    <n v="18000"/>
    <s v="D 8000"/>
    <n v="18000"/>
    <x v="3"/>
    <s v="Dimsum Ayam = 18000"/>
    <n v="11"/>
    <s v="Dimsum Ayam"/>
  </r>
  <r>
    <x v="19"/>
    <x v="1"/>
    <x v="0"/>
    <n v="4"/>
    <n v="12000"/>
    <s v="D 8000"/>
    <n v="48000"/>
    <x v="1"/>
    <s v="Dimsum Udang = 12000"/>
    <n v="12"/>
    <s v="Dimsum Udang"/>
  </r>
  <r>
    <x v="0"/>
    <x v="1"/>
    <x v="0"/>
    <n v="16"/>
    <n v="15000"/>
    <s v="D 40000"/>
    <n v="240000"/>
    <x v="3"/>
    <s v="Dimsum Udang = 15000"/>
    <n v="12"/>
    <s v="Dimsum Udang"/>
  </r>
  <r>
    <x v="16"/>
    <x v="3"/>
    <x v="0"/>
    <n v="15"/>
    <n v="12000"/>
    <s v="D 80000"/>
    <n v="180000"/>
    <x v="3"/>
    <s v="Dimsum Nori = 12000"/>
    <n v="11"/>
    <s v="Dimsum Nori"/>
  </r>
  <r>
    <x v="68"/>
    <x v="2"/>
    <x v="0"/>
    <n v="20"/>
    <n v="18000"/>
    <s v="D 60000"/>
    <n v="360000"/>
    <x v="3"/>
    <s v="Dimsum Ayam Jamur = 18000"/>
    <n v="17"/>
    <s v="Dimsum Ayam Jamur"/>
  </r>
  <r>
    <x v="81"/>
    <x v="2"/>
    <x v="0"/>
    <n v="12"/>
    <n v="18000"/>
    <s v="D 16000"/>
    <n v="216000"/>
    <x v="1"/>
    <s v="Dimsum Ayam Jamur = 18000"/>
    <n v="17"/>
    <s v="Dimsum Ayam Jamur"/>
  </r>
  <r>
    <x v="19"/>
    <x v="1"/>
    <x v="0"/>
    <n v="18"/>
    <n v="15000"/>
    <s v="D 70000"/>
    <n v="270000"/>
    <x v="3"/>
    <s v="Dimsum Udang = 15000"/>
    <n v="12"/>
    <s v="Dimsum Udang"/>
  </r>
  <r>
    <x v="30"/>
    <x v="4"/>
    <x v="0"/>
    <n v="10"/>
    <n v="18000"/>
    <s v="D 80000"/>
    <n v="180000"/>
    <x v="1"/>
    <s v="Dimsum Kepiting = 18000"/>
    <n v="15"/>
    <s v="Dimsum Kepiting"/>
  </r>
  <r>
    <x v="65"/>
    <x v="0"/>
    <x v="0"/>
    <n v="6"/>
    <n v="15000"/>
    <s v="D 0000"/>
    <n v="90000"/>
    <x v="3"/>
    <s v="Dimsum Ayam = 15000"/>
    <n v="11"/>
    <s v="Dimsum Ayam"/>
  </r>
  <r>
    <x v="77"/>
    <x v="3"/>
    <x v="0"/>
    <n v="19"/>
    <n v="15000"/>
    <s v="D 85000"/>
    <n v="285000"/>
    <x v="1"/>
    <s v="Dimsum Nori = 15000"/>
    <n v="11"/>
    <s v="Dimsum Nori"/>
  </r>
  <r>
    <x v="43"/>
    <x v="3"/>
    <x v="0"/>
    <n v="2"/>
    <n v="12000"/>
    <s v="D 4000"/>
    <n v="24000"/>
    <x v="2"/>
    <s v="Dimsum Nori = 12000"/>
    <n v="11"/>
    <s v="Dimsum Nori"/>
  </r>
  <r>
    <x v="7"/>
    <x v="2"/>
    <x v="0"/>
    <n v="15"/>
    <n v="12000"/>
    <s v="D 80000"/>
    <n v="180000"/>
    <x v="2"/>
    <s v="Dimsum Ayam Jamur = 12000"/>
    <n v="17"/>
    <s v="Dimsum Ayam Jamur"/>
  </r>
  <r>
    <x v="38"/>
    <x v="3"/>
    <x v="0"/>
    <n v="20"/>
    <n v="15000"/>
    <s v="D 00000"/>
    <n v="300000"/>
    <x v="0"/>
    <s v="Dimsum Nori = 15000"/>
    <n v="11"/>
    <s v="Dimsum Nori"/>
  </r>
  <r>
    <x v="43"/>
    <x v="0"/>
    <x v="0"/>
    <n v="2"/>
    <n v="20000"/>
    <s v="D 0000"/>
    <n v="40000"/>
    <x v="2"/>
    <s v="Dimsum Ayam = 20000"/>
    <n v="11"/>
    <s v="Dimsum Ayam"/>
  </r>
  <r>
    <x v="11"/>
    <x v="4"/>
    <x v="0"/>
    <n v="14"/>
    <n v="18000"/>
    <s v="D 52000"/>
    <n v="252000"/>
    <x v="2"/>
    <s v="Dimsum Kepiting = 18000"/>
    <n v="15"/>
    <s v="Dimsum Kepiting"/>
  </r>
  <r>
    <x v="31"/>
    <x v="3"/>
    <x v="0"/>
    <n v="10"/>
    <n v="12000"/>
    <s v="D 20000"/>
    <n v="120000"/>
    <x v="3"/>
    <s v="Dimsum Nori = 12000"/>
    <n v="11"/>
    <s v="Dimsum Nori"/>
  </r>
  <r>
    <x v="31"/>
    <x v="0"/>
    <x v="0"/>
    <n v="18"/>
    <n v="18000"/>
    <s v="D 24000"/>
    <n v="324000"/>
    <x v="1"/>
    <s v="Dimsum Ayam = 18000"/>
    <n v="11"/>
    <s v="Dimsum Ayam"/>
  </r>
  <r>
    <x v="6"/>
    <x v="4"/>
    <x v="0"/>
    <n v="11"/>
    <n v="12000"/>
    <s v="D 32000"/>
    <n v="132000"/>
    <x v="1"/>
    <s v="Dimsum Kepiting = 12000"/>
    <n v="15"/>
    <s v="Dimsum Kepiting"/>
  </r>
  <r>
    <x v="61"/>
    <x v="3"/>
    <x v="0"/>
    <n v="2"/>
    <n v="18000"/>
    <s v="D 6000"/>
    <n v="36000"/>
    <x v="2"/>
    <s v="Dimsum Nori = 18000"/>
    <n v="11"/>
    <s v="Dimsum Nori"/>
  </r>
  <r>
    <x v="39"/>
    <x v="3"/>
    <x v="0"/>
    <n v="3"/>
    <n v="18000"/>
    <s v="D 4000"/>
    <n v="54000"/>
    <x v="1"/>
    <s v="Dimsum Nori = 18000"/>
    <n v="11"/>
    <s v="Dimsum Nori"/>
  </r>
  <r>
    <x v="12"/>
    <x v="1"/>
    <x v="0"/>
    <n v="11"/>
    <n v="18000"/>
    <s v="D 98000"/>
    <n v="198000"/>
    <x v="3"/>
    <s v="Dimsum Udang = 18000"/>
    <n v="12"/>
    <s v="Dimsum Udang"/>
  </r>
  <r>
    <x v="61"/>
    <x v="0"/>
    <x v="0"/>
    <n v="6"/>
    <n v="15000"/>
    <s v="D 0000"/>
    <n v="90000"/>
    <x v="2"/>
    <s v="Dimsum Ayam = 15000"/>
    <n v="11"/>
    <s v="Dimsum Ayam"/>
  </r>
  <r>
    <x v="2"/>
    <x v="4"/>
    <x v="0"/>
    <n v="14"/>
    <n v="20000"/>
    <s v="D 80000"/>
    <n v="280000"/>
    <x v="2"/>
    <s v="Dimsum Kepiting = 20000"/>
    <n v="15"/>
    <s v="Dimsum Kepiting"/>
  </r>
  <r>
    <x v="10"/>
    <x v="1"/>
    <x v="0"/>
    <n v="15"/>
    <n v="15000"/>
    <s v="D 25000"/>
    <n v="225000"/>
    <x v="1"/>
    <s v="Dimsum Udang = 15000"/>
    <n v="12"/>
    <s v="Dimsum Udang"/>
  </r>
  <r>
    <x v="17"/>
    <x v="2"/>
    <x v="0"/>
    <n v="10"/>
    <n v="15000"/>
    <s v="D 50000"/>
    <n v="150000"/>
    <x v="1"/>
    <s v="Dimsum Ayam Jamur = 15000"/>
    <n v="17"/>
    <s v="Dimsum Ayam Jamur"/>
  </r>
  <r>
    <x v="43"/>
    <x v="4"/>
    <x v="0"/>
    <n v="17"/>
    <n v="12000"/>
    <s v="D 04000"/>
    <n v="204000"/>
    <x v="1"/>
    <s v="Dimsum Kepiting = 12000"/>
    <n v="15"/>
    <s v="Dimsum Kepiting"/>
  </r>
  <r>
    <x v="31"/>
    <x v="3"/>
    <x v="0"/>
    <n v="13"/>
    <n v="12000"/>
    <s v="D 56000"/>
    <n v="156000"/>
    <x v="3"/>
    <s v="Dimsum Nori = 12000"/>
    <n v="11"/>
    <s v="Dimsum Nori"/>
  </r>
  <r>
    <x v="15"/>
    <x v="3"/>
    <x v="0"/>
    <n v="15"/>
    <n v="15000"/>
    <s v="D 25000"/>
    <n v="225000"/>
    <x v="1"/>
    <s v="Dimsum Nori = 15000"/>
    <n v="11"/>
    <s v="Dimsum Nori"/>
  </r>
  <r>
    <x v="23"/>
    <x v="2"/>
    <x v="0"/>
    <n v="2"/>
    <n v="18000"/>
    <s v="D 6000"/>
    <n v="36000"/>
    <x v="3"/>
    <s v="Dimsum Ayam Jamur = 18000"/>
    <n v="17"/>
    <s v="Dimsum Ayam Jamur"/>
  </r>
  <r>
    <x v="0"/>
    <x v="1"/>
    <x v="0"/>
    <n v="15"/>
    <n v="15000"/>
    <s v="D 25000"/>
    <n v="225000"/>
    <x v="0"/>
    <s v="Dimsum Udang = 15000"/>
    <n v="12"/>
    <s v="Dimsum Udang"/>
  </r>
  <r>
    <x v="12"/>
    <x v="4"/>
    <x v="0"/>
    <n v="9"/>
    <n v="12000"/>
    <s v="D 08000"/>
    <n v="108000"/>
    <x v="0"/>
    <s v="Dimsum Kepiting = 12000"/>
    <n v="15"/>
    <s v="Dimsum Kepiting"/>
  </r>
  <r>
    <x v="20"/>
    <x v="4"/>
    <x v="0"/>
    <n v="5"/>
    <n v="18000"/>
    <s v="D 0000"/>
    <n v="90000"/>
    <x v="2"/>
    <s v="Dimsum Kepiting = 18000"/>
    <n v="15"/>
    <s v="Dimsum Kepiting"/>
  </r>
  <r>
    <x v="28"/>
    <x v="0"/>
    <x v="0"/>
    <n v="2"/>
    <n v="20000"/>
    <s v="D 0000"/>
    <n v="40000"/>
    <x v="3"/>
    <s v="Dimsum Ayam = 20000"/>
    <n v="11"/>
    <s v="Dimsum Ayam"/>
  </r>
  <r>
    <x v="60"/>
    <x v="4"/>
    <x v="0"/>
    <n v="10"/>
    <n v="15000"/>
    <s v="D 50000"/>
    <n v="150000"/>
    <x v="2"/>
    <s v="Dimsum Kepiting = 15000"/>
    <n v="15"/>
    <s v="Dimsum Kepiting"/>
  </r>
  <r>
    <x v="84"/>
    <x v="3"/>
    <x v="0"/>
    <n v="8"/>
    <n v="15000"/>
    <s v="D 20000"/>
    <n v="120000"/>
    <x v="3"/>
    <s v="Dimsum Nori = 15000"/>
    <n v="11"/>
    <s v="Dimsum Nori"/>
  </r>
  <r>
    <x v="22"/>
    <x v="4"/>
    <x v="0"/>
    <n v="3"/>
    <n v="15000"/>
    <s v="D 5000"/>
    <n v="45000"/>
    <x v="1"/>
    <s v="Dimsum Kepiting = 15000"/>
    <n v="15"/>
    <s v="Dimsum Kepiting"/>
  </r>
  <r>
    <x v="28"/>
    <x v="4"/>
    <x v="0"/>
    <n v="9"/>
    <n v="12000"/>
    <s v="D 08000"/>
    <n v="108000"/>
    <x v="2"/>
    <s v="Dimsum Kepiting = 12000"/>
    <n v="15"/>
    <s v="Dimsum Kepiting"/>
  </r>
  <r>
    <x v="11"/>
    <x v="2"/>
    <x v="0"/>
    <n v="9"/>
    <n v="12000"/>
    <s v="D 08000"/>
    <n v="108000"/>
    <x v="2"/>
    <s v="Dimsum Ayam Jamur = 12000"/>
    <n v="17"/>
    <s v="Dimsum Ayam Jamur"/>
  </r>
  <r>
    <x v="39"/>
    <x v="1"/>
    <x v="0"/>
    <n v="6"/>
    <n v="12000"/>
    <s v="D 2000"/>
    <n v="72000"/>
    <x v="3"/>
    <s v="Dimsum Udang = 12000"/>
    <n v="12"/>
    <s v="Dimsum Udang"/>
  </r>
  <r>
    <x v="81"/>
    <x v="4"/>
    <x v="0"/>
    <n v="16"/>
    <n v="12000"/>
    <s v="D 92000"/>
    <n v="192000"/>
    <x v="1"/>
    <s v="Dimsum Kepiting = 12000"/>
    <n v="15"/>
    <s v="Dimsum Kepiting"/>
  </r>
  <r>
    <x v="76"/>
    <x v="4"/>
    <x v="0"/>
    <n v="13"/>
    <n v="12000"/>
    <s v="D 56000"/>
    <n v="156000"/>
    <x v="0"/>
    <s v="Dimsum Kepiting = 12000"/>
    <n v="15"/>
    <s v="Dimsum Kepiting"/>
  </r>
  <r>
    <x v="80"/>
    <x v="2"/>
    <x v="0"/>
    <n v="5"/>
    <n v="18000"/>
    <s v="D 0000"/>
    <n v="90000"/>
    <x v="2"/>
    <s v="Dimsum Ayam Jamur = 18000"/>
    <n v="17"/>
    <s v="Dimsum Ayam Jamur"/>
  </r>
  <r>
    <x v="1"/>
    <x v="4"/>
    <x v="0"/>
    <n v="12"/>
    <n v="12000"/>
    <s v="D 44000"/>
    <n v="144000"/>
    <x v="3"/>
    <s v="Dimsum Kepiting = 12000"/>
    <n v="15"/>
    <s v="Dimsum Kepiting"/>
  </r>
  <r>
    <x v="88"/>
    <x v="2"/>
    <x v="0"/>
    <n v="14"/>
    <n v="18000"/>
    <s v="D 52000"/>
    <n v="252000"/>
    <x v="1"/>
    <s v="Dimsum Ayam Jamur = 18000"/>
    <n v="17"/>
    <s v="Dimsum Ayam Jamur"/>
  </r>
  <r>
    <x v="28"/>
    <x v="0"/>
    <x v="0"/>
    <n v="12"/>
    <n v="12000"/>
    <s v="D 44000"/>
    <n v="144000"/>
    <x v="1"/>
    <s v="Dimsum Ayam = 12000"/>
    <n v="11"/>
    <s v="Dimsum Ayam"/>
  </r>
  <r>
    <x v="42"/>
    <x v="2"/>
    <x v="0"/>
    <n v="15"/>
    <n v="12000"/>
    <s v="D 80000"/>
    <n v="180000"/>
    <x v="3"/>
    <s v="Dimsum Ayam Jamur = 12000"/>
    <n v="17"/>
    <s v="Dimsum Ayam Jamur"/>
  </r>
  <r>
    <x v="30"/>
    <x v="0"/>
    <x v="0"/>
    <n v="11"/>
    <n v="18000"/>
    <s v="D 98000"/>
    <n v="198000"/>
    <x v="3"/>
    <s v="Dimsum Ayam = 18000"/>
    <n v="11"/>
    <s v="Dimsum Ayam"/>
  </r>
  <r>
    <x v="14"/>
    <x v="2"/>
    <x v="0"/>
    <n v="3"/>
    <n v="15000"/>
    <s v="D 5000"/>
    <n v="45000"/>
    <x v="3"/>
    <s v="Dimsum Ayam Jamur = 15000"/>
    <n v="17"/>
    <s v="Dimsum Ayam Jamur"/>
  </r>
  <r>
    <x v="50"/>
    <x v="2"/>
    <x v="0"/>
    <n v="8"/>
    <n v="15000"/>
    <s v="D 20000"/>
    <n v="120000"/>
    <x v="2"/>
    <s v="Dimsum Ayam Jamur = 15000"/>
    <n v="17"/>
    <s v="Dimsum Ayam Jamur"/>
  </r>
  <r>
    <x v="67"/>
    <x v="3"/>
    <x v="0"/>
    <n v="7"/>
    <n v="15000"/>
    <s v="D 05000"/>
    <n v="105000"/>
    <x v="0"/>
    <s v="Dimsum Nori = 15000"/>
    <n v="11"/>
    <s v="Dimsum Nori"/>
  </r>
  <r>
    <x v="42"/>
    <x v="3"/>
    <x v="0"/>
    <n v="11"/>
    <n v="20000"/>
    <s v="D 20000"/>
    <n v="220000"/>
    <x v="0"/>
    <s v="Dimsum Nori = 20000"/>
    <n v="11"/>
    <s v="Dimsum Nori"/>
  </r>
  <r>
    <x v="67"/>
    <x v="4"/>
    <x v="0"/>
    <n v="12"/>
    <n v="15000"/>
    <s v="D 80000"/>
    <n v="180000"/>
    <x v="1"/>
    <s v="Dimsum Kepiting = 15000"/>
    <n v="15"/>
    <s v="Dimsum Kepiting"/>
  </r>
  <r>
    <x v="71"/>
    <x v="0"/>
    <x v="0"/>
    <n v="9"/>
    <n v="12000"/>
    <s v="D 08000"/>
    <n v="108000"/>
    <x v="1"/>
    <s v="Dimsum Ayam = 12000"/>
    <n v="11"/>
    <s v="Dimsum Ayam"/>
  </r>
  <r>
    <x v="19"/>
    <x v="3"/>
    <x v="0"/>
    <n v="15"/>
    <n v="20000"/>
    <s v="D 00000"/>
    <n v="300000"/>
    <x v="3"/>
    <s v="Dimsum Nori = 20000"/>
    <n v="11"/>
    <s v="Dimsum Nori"/>
  </r>
  <r>
    <x v="83"/>
    <x v="1"/>
    <x v="0"/>
    <n v="6"/>
    <n v="18000"/>
    <s v="D 08000"/>
    <n v="108000"/>
    <x v="0"/>
    <s v="Dimsum Udang = 18000"/>
    <n v="12"/>
    <s v="Dimsum Udang"/>
  </r>
  <r>
    <x v="19"/>
    <x v="1"/>
    <x v="0"/>
    <n v="4"/>
    <n v="12000"/>
    <s v="D 8000"/>
    <n v="48000"/>
    <x v="1"/>
    <s v="Dimsum Udang = 12000"/>
    <n v="12"/>
    <s v="Dimsum Udang"/>
  </r>
  <r>
    <x v="50"/>
    <x v="2"/>
    <x v="0"/>
    <n v="2"/>
    <n v="12000"/>
    <s v="D 4000"/>
    <n v="24000"/>
    <x v="1"/>
    <s v="Dimsum Ayam Jamur = 12000"/>
    <n v="17"/>
    <s v="Dimsum Ayam Jamur"/>
  </r>
  <r>
    <x v="88"/>
    <x v="4"/>
    <x v="0"/>
    <n v="20"/>
    <n v="18000"/>
    <s v="D 60000"/>
    <n v="360000"/>
    <x v="0"/>
    <s v="Dimsum Kepiting = 18000"/>
    <n v="15"/>
    <s v="Dimsum Kepiting"/>
  </r>
  <r>
    <x v="3"/>
    <x v="4"/>
    <x v="0"/>
    <n v="9"/>
    <n v="18000"/>
    <s v="D 62000"/>
    <n v="162000"/>
    <x v="3"/>
    <s v="Dimsum Kepiting = 18000"/>
    <n v="15"/>
    <s v="Dimsum Kepiting"/>
  </r>
  <r>
    <x v="49"/>
    <x v="2"/>
    <x v="0"/>
    <n v="11"/>
    <n v="15000"/>
    <s v="D 65000"/>
    <n v="165000"/>
    <x v="2"/>
    <s v="Dimsum Ayam Jamur = 15000"/>
    <n v="17"/>
    <s v="Dimsum Ayam Jamur"/>
  </r>
  <r>
    <x v="33"/>
    <x v="1"/>
    <x v="0"/>
    <n v="16"/>
    <n v="15000"/>
    <s v="D 40000"/>
    <n v="240000"/>
    <x v="2"/>
    <s v="Dimsum Udang = 15000"/>
    <n v="12"/>
    <s v="Dimsum Udang"/>
  </r>
  <r>
    <x v="54"/>
    <x v="2"/>
    <x v="0"/>
    <n v="7"/>
    <n v="15000"/>
    <s v="D 05000"/>
    <n v="105000"/>
    <x v="1"/>
    <s v="Dimsum Ayam Jamur = 15000"/>
    <n v="17"/>
    <s v="Dimsum Ayam Jamur"/>
  </r>
  <r>
    <x v="43"/>
    <x v="0"/>
    <x v="0"/>
    <n v="19"/>
    <n v="12000"/>
    <s v="D 28000"/>
    <n v="228000"/>
    <x v="2"/>
    <s v="Dimsum Ayam = 12000"/>
    <n v="11"/>
    <s v="Dimsum Ayam"/>
  </r>
  <r>
    <x v="39"/>
    <x v="4"/>
    <x v="0"/>
    <n v="5"/>
    <n v="15000"/>
    <s v="D 5000"/>
    <n v="75000"/>
    <x v="0"/>
    <s v="Dimsum Kepiting = 15000"/>
    <n v="15"/>
    <s v="Dimsum Kepiting"/>
  </r>
  <r>
    <x v="39"/>
    <x v="2"/>
    <x v="0"/>
    <n v="3"/>
    <n v="18000"/>
    <s v="D 4000"/>
    <n v="54000"/>
    <x v="1"/>
    <s v="Dimsum Ayam Jamur = 18000"/>
    <n v="17"/>
    <s v="Dimsum Ayam Jamur"/>
  </r>
  <r>
    <x v="0"/>
    <x v="2"/>
    <x v="0"/>
    <n v="15"/>
    <n v="15000"/>
    <s v="D 25000"/>
    <n v="225000"/>
    <x v="1"/>
    <s v="Dimsum Ayam Jamur = 15000"/>
    <n v="17"/>
    <s v="Dimsum Ayam Jamur"/>
  </r>
  <r>
    <x v="26"/>
    <x v="1"/>
    <x v="0"/>
    <n v="7"/>
    <n v="18000"/>
    <s v="D 26000"/>
    <n v="126000"/>
    <x v="1"/>
    <s v="Dimsum Udang = 18000"/>
    <n v="12"/>
    <s v="Dimsum Udang"/>
  </r>
  <r>
    <x v="65"/>
    <x v="3"/>
    <x v="0"/>
    <n v="9"/>
    <n v="20000"/>
    <s v="D 80000"/>
    <n v="180000"/>
    <x v="3"/>
    <s v="Dimsum Nori = 20000"/>
    <n v="11"/>
    <s v="Dimsum Nori"/>
  </r>
  <r>
    <x v="77"/>
    <x v="2"/>
    <x v="0"/>
    <n v="5"/>
    <n v="15000"/>
    <s v="D 5000"/>
    <n v="75000"/>
    <x v="3"/>
    <s v="Dimsum Ayam Jamur = 15000"/>
    <n v="17"/>
    <s v="Dimsum Ayam Jamur"/>
  </r>
  <r>
    <x v="44"/>
    <x v="2"/>
    <x v="0"/>
    <n v="2"/>
    <n v="15000"/>
    <s v="D 0000"/>
    <n v="30000"/>
    <x v="3"/>
    <s v="Dimsum Ayam Jamur = 15000"/>
    <n v="17"/>
    <s v="Dimsum Ayam Jamur"/>
  </r>
  <r>
    <x v="67"/>
    <x v="1"/>
    <x v="0"/>
    <n v="19"/>
    <n v="12000"/>
    <s v="D 28000"/>
    <n v="228000"/>
    <x v="1"/>
    <s v="Dimsum Udang = 12000"/>
    <n v="12"/>
    <s v="Dimsum Udang"/>
  </r>
  <r>
    <x v="30"/>
    <x v="4"/>
    <x v="0"/>
    <n v="8"/>
    <n v="20000"/>
    <s v="D 60000"/>
    <n v="160000"/>
    <x v="2"/>
    <s v="Dimsum Kepiting = 20000"/>
    <n v="15"/>
    <s v="Dimsum Kepiting"/>
  </r>
  <r>
    <x v="38"/>
    <x v="4"/>
    <x v="0"/>
    <n v="13"/>
    <n v="15000"/>
    <s v="D 95000"/>
    <n v="195000"/>
    <x v="1"/>
    <s v="Dimsum Kepiting = 15000"/>
    <n v="15"/>
    <s v="Dimsum Kepiting"/>
  </r>
  <r>
    <x v="52"/>
    <x v="3"/>
    <x v="0"/>
    <n v="7"/>
    <n v="20000"/>
    <s v="D 40000"/>
    <n v="140000"/>
    <x v="1"/>
    <s v="Dimsum Nori = 20000"/>
    <n v="11"/>
    <s v="Dimsum Nori"/>
  </r>
  <r>
    <x v="75"/>
    <x v="0"/>
    <x v="0"/>
    <n v="10"/>
    <n v="18000"/>
    <s v="D 80000"/>
    <n v="180000"/>
    <x v="2"/>
    <s v="Dimsum Ayam = 18000"/>
    <n v="11"/>
    <s v="Dimsum Ayam"/>
  </r>
  <r>
    <x v="20"/>
    <x v="4"/>
    <x v="0"/>
    <n v="11"/>
    <n v="20000"/>
    <s v="D 20000"/>
    <n v="220000"/>
    <x v="2"/>
    <s v="Dimsum Kepiting = 20000"/>
    <n v="15"/>
    <s v="Dimsum Kepiting"/>
  </r>
  <r>
    <x v="69"/>
    <x v="1"/>
    <x v="0"/>
    <n v="15"/>
    <n v="18000"/>
    <s v="D 70000"/>
    <n v="270000"/>
    <x v="3"/>
    <s v="Dimsum Udang = 18000"/>
    <n v="12"/>
    <s v="Dimsum Udang"/>
  </r>
  <r>
    <x v="88"/>
    <x v="2"/>
    <x v="0"/>
    <n v="16"/>
    <n v="20000"/>
    <s v="D 20000"/>
    <n v="320000"/>
    <x v="1"/>
    <s v="Dimsum Ayam Jamur = 20000"/>
    <n v="17"/>
    <s v="Dimsum Ayam Jamur"/>
  </r>
  <r>
    <x v="77"/>
    <x v="0"/>
    <x v="0"/>
    <n v="3"/>
    <n v="12000"/>
    <s v="D 6000"/>
    <n v="36000"/>
    <x v="1"/>
    <s v="Dimsum Ayam = 12000"/>
    <n v="11"/>
    <s v="Dimsum Ayam"/>
  </r>
  <r>
    <x v="30"/>
    <x v="3"/>
    <x v="0"/>
    <n v="11"/>
    <n v="12000"/>
    <s v="D 32000"/>
    <n v="132000"/>
    <x v="1"/>
    <s v="Dimsum Nori = 12000"/>
    <n v="11"/>
    <s v="Dimsum Nori"/>
  </r>
  <r>
    <x v="79"/>
    <x v="1"/>
    <x v="0"/>
    <n v="3"/>
    <n v="15000"/>
    <s v="D 5000"/>
    <n v="45000"/>
    <x v="3"/>
    <s v="Dimsum Udang = 15000"/>
    <n v="12"/>
    <s v="Dimsum Udang"/>
  </r>
  <r>
    <x v="84"/>
    <x v="0"/>
    <x v="0"/>
    <n v="16"/>
    <n v="20000"/>
    <s v="D 20000"/>
    <n v="320000"/>
    <x v="3"/>
    <s v="Dimsum Ayam = 20000"/>
    <n v="11"/>
    <s v="Dimsum Ayam"/>
  </r>
  <r>
    <x v="18"/>
    <x v="2"/>
    <x v="0"/>
    <n v="11"/>
    <n v="12000"/>
    <s v="D 32000"/>
    <n v="132000"/>
    <x v="0"/>
    <s v="Dimsum Ayam Jamur = 12000"/>
    <n v="17"/>
    <s v="Dimsum Ayam Jamur"/>
  </r>
  <r>
    <x v="37"/>
    <x v="1"/>
    <x v="0"/>
    <n v="6"/>
    <n v="12000"/>
    <s v="D 2000"/>
    <n v="72000"/>
    <x v="1"/>
    <s v="Dimsum Udang = 12000"/>
    <n v="12"/>
    <s v="Dimsum Udang"/>
  </r>
  <r>
    <x v="7"/>
    <x v="2"/>
    <x v="0"/>
    <n v="6"/>
    <n v="20000"/>
    <s v="D 20000"/>
    <n v="120000"/>
    <x v="0"/>
    <s v="Dimsum Ayam Jamur = 20000"/>
    <n v="17"/>
    <s v="Dimsum Ayam Jamur"/>
  </r>
  <r>
    <x v="38"/>
    <x v="1"/>
    <x v="0"/>
    <n v="16"/>
    <n v="18000"/>
    <s v="D 88000"/>
    <n v="288000"/>
    <x v="3"/>
    <s v="Dimsum Udang = 18000"/>
    <n v="12"/>
    <s v="Dimsum Udang"/>
  </r>
  <r>
    <x v="33"/>
    <x v="3"/>
    <x v="0"/>
    <n v="7"/>
    <n v="18000"/>
    <s v="D 26000"/>
    <n v="126000"/>
    <x v="0"/>
    <s v="Dimsum Nori = 18000"/>
    <n v="11"/>
    <s v="Dimsum Nori"/>
  </r>
  <r>
    <x v="25"/>
    <x v="0"/>
    <x v="0"/>
    <n v="15"/>
    <n v="12000"/>
    <s v="D 80000"/>
    <n v="180000"/>
    <x v="3"/>
    <s v="Dimsum Ayam = 12000"/>
    <n v="11"/>
    <s v="Dimsum Ayam"/>
  </r>
  <r>
    <x v="48"/>
    <x v="2"/>
    <x v="0"/>
    <n v="14"/>
    <n v="20000"/>
    <s v="D 80000"/>
    <n v="280000"/>
    <x v="2"/>
    <s v="Dimsum Ayam Jamur = 20000"/>
    <n v="17"/>
    <s v="Dimsum Ayam Jamur"/>
  </r>
  <r>
    <x v="4"/>
    <x v="4"/>
    <x v="0"/>
    <n v="18"/>
    <n v="15000"/>
    <s v="D 70000"/>
    <n v="270000"/>
    <x v="3"/>
    <s v="Dimsum Kepiting = 15000"/>
    <n v="15"/>
    <s v="Dimsum Kepiting"/>
  </r>
  <r>
    <x v="62"/>
    <x v="2"/>
    <x v="0"/>
    <n v="4"/>
    <n v="12000"/>
    <s v="D 8000"/>
    <n v="48000"/>
    <x v="1"/>
    <s v="Dimsum Ayam Jamur = 12000"/>
    <n v="17"/>
    <s v="Dimsum Ayam Jamur"/>
  </r>
  <r>
    <x v="17"/>
    <x v="0"/>
    <x v="0"/>
    <n v="12"/>
    <n v="15000"/>
    <s v="D 80000"/>
    <n v="180000"/>
    <x v="2"/>
    <s v="Dimsum Ayam = 15000"/>
    <n v="11"/>
    <s v="Dimsum Ayam"/>
  </r>
  <r>
    <x v="51"/>
    <x v="3"/>
    <x v="0"/>
    <n v="5"/>
    <n v="15000"/>
    <s v="D 5000"/>
    <n v="75000"/>
    <x v="1"/>
    <s v="Dimsum Nori = 15000"/>
    <n v="11"/>
    <s v="Dimsum Nori"/>
  </r>
  <r>
    <x v="22"/>
    <x v="0"/>
    <x v="0"/>
    <n v="9"/>
    <n v="20000"/>
    <s v="D 80000"/>
    <n v="180000"/>
    <x v="3"/>
    <s v="Dimsum Ayam = 20000"/>
    <n v="11"/>
    <s v="Dimsum Ayam"/>
  </r>
  <r>
    <x v="45"/>
    <x v="0"/>
    <x v="0"/>
    <n v="3"/>
    <n v="12000"/>
    <s v="D 6000"/>
    <n v="36000"/>
    <x v="1"/>
    <s v="Dimsum Ayam = 12000"/>
    <n v="11"/>
    <s v="Dimsum Ayam"/>
  </r>
  <r>
    <x v="13"/>
    <x v="0"/>
    <x v="0"/>
    <n v="3"/>
    <n v="15000"/>
    <s v="D 5000"/>
    <n v="45000"/>
    <x v="3"/>
    <s v="Dimsum Ayam = 15000"/>
    <n v="11"/>
    <s v="Dimsum Ayam"/>
  </r>
  <r>
    <x v="43"/>
    <x v="4"/>
    <x v="0"/>
    <n v="17"/>
    <n v="15000"/>
    <s v="D 55000"/>
    <n v="255000"/>
    <x v="2"/>
    <s v="Dimsum Kepiting = 15000"/>
    <n v="15"/>
    <s v="Dimsum Kepiting"/>
  </r>
  <r>
    <x v="35"/>
    <x v="1"/>
    <x v="0"/>
    <n v="12"/>
    <n v="20000"/>
    <s v="D 40000"/>
    <n v="240000"/>
    <x v="3"/>
    <s v="Dimsum Udang = 20000"/>
    <n v="12"/>
    <s v="Dimsum Udang"/>
  </r>
  <r>
    <x v="49"/>
    <x v="4"/>
    <x v="0"/>
    <n v="5"/>
    <n v="12000"/>
    <s v="D 0000"/>
    <n v="60000"/>
    <x v="2"/>
    <s v="Dimsum Kepiting = 12000"/>
    <n v="15"/>
    <s v="Dimsum Kepiting"/>
  </r>
  <r>
    <x v="72"/>
    <x v="0"/>
    <x v="0"/>
    <n v="7"/>
    <n v="12000"/>
    <s v="D 4000"/>
    <n v="84000"/>
    <x v="0"/>
    <s v="Dimsum Ayam = 12000"/>
    <n v="11"/>
    <s v="Dimsum Ayam"/>
  </r>
  <r>
    <x v="31"/>
    <x v="2"/>
    <x v="0"/>
    <n v="20"/>
    <n v="15000"/>
    <s v="D 00000"/>
    <n v="300000"/>
    <x v="1"/>
    <s v="Dimsum Ayam Jamur = 15000"/>
    <n v="17"/>
    <s v="Dimsum Ayam Jamur"/>
  </r>
  <r>
    <x v="36"/>
    <x v="3"/>
    <x v="0"/>
    <n v="5"/>
    <n v="12000"/>
    <s v="D 0000"/>
    <n v="60000"/>
    <x v="1"/>
    <s v="Dimsum Nori = 12000"/>
    <n v="11"/>
    <s v="Dimsum Nori"/>
  </r>
  <r>
    <x v="23"/>
    <x v="1"/>
    <x v="0"/>
    <n v="4"/>
    <n v="18000"/>
    <s v="D 2000"/>
    <n v="72000"/>
    <x v="1"/>
    <s v="Dimsum Udang = 18000"/>
    <n v="12"/>
    <s v="Dimsum Udang"/>
  </r>
  <r>
    <x v="47"/>
    <x v="1"/>
    <x v="0"/>
    <n v="7"/>
    <n v="18000"/>
    <s v="D 26000"/>
    <n v="126000"/>
    <x v="1"/>
    <s v="Dimsum Udang = 18000"/>
    <n v="12"/>
    <s v="Dimsum Udang"/>
  </r>
  <r>
    <x v="43"/>
    <x v="4"/>
    <x v="0"/>
    <n v="1"/>
    <n v="15000"/>
    <s v="D 5000"/>
    <n v="15000"/>
    <x v="2"/>
    <s v="Dimsum Kepiting = 15000"/>
    <n v="15"/>
    <s v="Dimsum Kepiting"/>
  </r>
  <r>
    <x v="19"/>
    <x v="2"/>
    <x v="0"/>
    <n v="9"/>
    <n v="15000"/>
    <s v="D 35000"/>
    <n v="135000"/>
    <x v="3"/>
    <s v="Dimsum Ayam Jamur = 15000"/>
    <n v="17"/>
    <s v="Dimsum Ayam Jamur"/>
  </r>
  <r>
    <x v="65"/>
    <x v="1"/>
    <x v="0"/>
    <n v="1"/>
    <n v="20000"/>
    <s v="D 0000"/>
    <n v="20000"/>
    <x v="2"/>
    <s v="Dimsum Udang = 20000"/>
    <n v="12"/>
    <s v="Dimsum Udang"/>
  </r>
  <r>
    <x v="66"/>
    <x v="0"/>
    <x v="0"/>
    <n v="5"/>
    <n v="12000"/>
    <s v="D 0000"/>
    <n v="60000"/>
    <x v="2"/>
    <s v="Dimsum Ayam = 12000"/>
    <n v="11"/>
    <s v="Dimsum Ayam"/>
  </r>
  <r>
    <x v="89"/>
    <x v="3"/>
    <x v="0"/>
    <n v="11"/>
    <n v="20000"/>
    <s v="D 20000"/>
    <n v="220000"/>
    <x v="1"/>
    <s v="Dimsum Nori = 20000"/>
    <n v="11"/>
    <s v="Dimsum Nori"/>
  </r>
  <r>
    <x v="87"/>
    <x v="1"/>
    <x v="0"/>
    <n v="19"/>
    <n v="20000"/>
    <s v="D 80000"/>
    <n v="380000"/>
    <x v="1"/>
    <s v="Dimsum Udang = 20000"/>
    <n v="12"/>
    <s v="Dimsum Udang"/>
  </r>
  <r>
    <x v="19"/>
    <x v="0"/>
    <x v="0"/>
    <n v="13"/>
    <n v="12000"/>
    <s v="D 56000"/>
    <n v="156000"/>
    <x v="1"/>
    <s v="Dimsum Ayam = 12000"/>
    <n v="11"/>
    <s v="Dimsum Ayam"/>
  </r>
  <r>
    <x v="21"/>
    <x v="2"/>
    <x v="0"/>
    <n v="8"/>
    <n v="15000"/>
    <s v="D 20000"/>
    <n v="120000"/>
    <x v="0"/>
    <s v="Dimsum Ayam Jamur = 15000"/>
    <n v="17"/>
    <s v="Dimsum Ayam Jamur"/>
  </r>
  <r>
    <x v="30"/>
    <x v="4"/>
    <x v="0"/>
    <n v="8"/>
    <n v="18000"/>
    <s v="D 44000"/>
    <n v="144000"/>
    <x v="0"/>
    <s v="Dimsum Kepiting = 18000"/>
    <n v="15"/>
    <s v="Dimsum Kepiting"/>
  </r>
  <r>
    <x v="8"/>
    <x v="4"/>
    <x v="0"/>
    <n v="16"/>
    <n v="15000"/>
    <s v="D 40000"/>
    <n v="240000"/>
    <x v="3"/>
    <s v="Dimsum Kepiting = 15000"/>
    <n v="15"/>
    <s v="Dimsum Kepiting"/>
  </r>
  <r>
    <x v="70"/>
    <x v="4"/>
    <x v="0"/>
    <n v="6"/>
    <n v="15000"/>
    <s v="D 0000"/>
    <n v="90000"/>
    <x v="2"/>
    <s v="Dimsum Kepiting = 15000"/>
    <n v="15"/>
    <s v="Dimsum Kepiting"/>
  </r>
  <r>
    <x v="41"/>
    <x v="1"/>
    <x v="0"/>
    <n v="4"/>
    <n v="15000"/>
    <s v="D 0000"/>
    <n v="60000"/>
    <x v="3"/>
    <s v="Dimsum Udang = 15000"/>
    <n v="12"/>
    <s v="Dimsum Udang"/>
  </r>
  <r>
    <x v="5"/>
    <x v="1"/>
    <x v="0"/>
    <n v="19"/>
    <n v="15000"/>
    <s v="D 85000"/>
    <n v="285000"/>
    <x v="2"/>
    <s v="Dimsum Udang = 15000"/>
    <n v="12"/>
    <s v="Dimsum Udang"/>
  </r>
  <r>
    <x v="44"/>
    <x v="2"/>
    <x v="0"/>
    <n v="10"/>
    <n v="12000"/>
    <s v="D 20000"/>
    <n v="120000"/>
    <x v="2"/>
    <s v="Dimsum Ayam Jamur = 12000"/>
    <n v="17"/>
    <s v="Dimsum Ayam Jamur"/>
  </r>
  <r>
    <x v="52"/>
    <x v="2"/>
    <x v="0"/>
    <n v="2"/>
    <n v="15000"/>
    <s v="D 0000"/>
    <n v="30000"/>
    <x v="1"/>
    <s v="Dimsum Ayam Jamur = 15000"/>
    <n v="17"/>
    <s v="Dimsum Ayam Jamur"/>
  </r>
  <r>
    <x v="78"/>
    <x v="2"/>
    <x v="0"/>
    <n v="3"/>
    <n v="20000"/>
    <s v="D 0000"/>
    <n v="60000"/>
    <x v="3"/>
    <s v="Dimsum Ayam Jamur = 20000"/>
    <n v="17"/>
    <s v="Dimsum Ayam Jamur"/>
  </r>
  <r>
    <x v="25"/>
    <x v="1"/>
    <x v="0"/>
    <n v="10"/>
    <n v="12000"/>
    <s v="D 20000"/>
    <n v="120000"/>
    <x v="0"/>
    <s v="Dimsum Udang = 12000"/>
    <n v="12"/>
    <s v="Dimsum Udang"/>
  </r>
  <r>
    <x v="7"/>
    <x v="3"/>
    <x v="0"/>
    <n v="7"/>
    <n v="12000"/>
    <s v="D 4000"/>
    <n v="84000"/>
    <x v="0"/>
    <s v="Dimsum Nori = 12000"/>
    <n v="11"/>
    <s v="Dimsum Nori"/>
  </r>
  <r>
    <x v="5"/>
    <x v="1"/>
    <x v="0"/>
    <n v="6"/>
    <n v="18000"/>
    <s v="D 08000"/>
    <n v="108000"/>
    <x v="2"/>
    <s v="Dimsum Udang = 18000"/>
    <n v="12"/>
    <s v="Dimsum Udang"/>
  </r>
  <r>
    <x v="81"/>
    <x v="1"/>
    <x v="0"/>
    <n v="9"/>
    <n v="20000"/>
    <s v="D 80000"/>
    <n v="180000"/>
    <x v="0"/>
    <s v="Dimsum Udang = 20000"/>
    <n v="12"/>
    <s v="Dimsum Udang"/>
  </r>
  <r>
    <x v="81"/>
    <x v="2"/>
    <x v="0"/>
    <n v="5"/>
    <n v="18000"/>
    <s v="D 0000"/>
    <n v="90000"/>
    <x v="0"/>
    <s v="Dimsum Ayam Jamur = 18000"/>
    <n v="17"/>
    <s v="Dimsum Ayam Jamur"/>
  </r>
  <r>
    <x v="21"/>
    <x v="0"/>
    <x v="0"/>
    <n v="6"/>
    <n v="12000"/>
    <s v="D 2000"/>
    <n v="72000"/>
    <x v="1"/>
    <s v="Dimsum Ayam = 12000"/>
    <n v="11"/>
    <s v="Dimsum Ayam"/>
  </r>
  <r>
    <x v="77"/>
    <x v="3"/>
    <x v="0"/>
    <n v="2"/>
    <n v="18000"/>
    <s v="D 6000"/>
    <n v="36000"/>
    <x v="1"/>
    <s v="Dimsum Nori = 18000"/>
    <n v="11"/>
    <s v="Dimsum Nori"/>
  </r>
  <r>
    <x v="48"/>
    <x v="4"/>
    <x v="0"/>
    <n v="12"/>
    <n v="18000"/>
    <s v="D 16000"/>
    <n v="216000"/>
    <x v="0"/>
    <s v="Dimsum Kepiting = 18000"/>
    <n v="15"/>
    <s v="Dimsum Kepiting"/>
  </r>
  <r>
    <x v="30"/>
    <x v="0"/>
    <x v="0"/>
    <n v="16"/>
    <n v="20000"/>
    <s v="D 20000"/>
    <n v="320000"/>
    <x v="0"/>
    <s v="Dimsum Ayam = 20000"/>
    <n v="11"/>
    <s v="Dimsum Ayam"/>
  </r>
  <r>
    <x v="56"/>
    <x v="3"/>
    <x v="0"/>
    <n v="3"/>
    <n v="18000"/>
    <s v="D 4000"/>
    <n v="54000"/>
    <x v="1"/>
    <s v="Dimsum Nori = 18000"/>
    <n v="11"/>
    <s v="Dimsum Nori"/>
  </r>
  <r>
    <x v="11"/>
    <x v="4"/>
    <x v="0"/>
    <n v="8"/>
    <n v="18000"/>
    <s v="D 44000"/>
    <n v="144000"/>
    <x v="3"/>
    <s v="Dimsum Kepiting = 18000"/>
    <n v="15"/>
    <s v="Dimsum Kepiting"/>
  </r>
  <r>
    <x v="25"/>
    <x v="3"/>
    <x v="0"/>
    <n v="16"/>
    <n v="15000"/>
    <s v="D 40000"/>
    <n v="240000"/>
    <x v="0"/>
    <s v="Dimsum Nori = 15000"/>
    <n v="11"/>
    <s v="Dimsum Nori"/>
  </r>
  <r>
    <x v="69"/>
    <x v="0"/>
    <x v="0"/>
    <n v="6"/>
    <n v="18000"/>
    <s v="D 08000"/>
    <n v="108000"/>
    <x v="1"/>
    <s v="Dimsum Ayam = 18000"/>
    <n v="11"/>
    <s v="Dimsum Ayam"/>
  </r>
  <r>
    <x v="14"/>
    <x v="3"/>
    <x v="0"/>
    <n v="1"/>
    <n v="20000"/>
    <s v="D 0000"/>
    <n v="20000"/>
    <x v="0"/>
    <s v="Dimsum Nori = 20000"/>
    <n v="11"/>
    <s v="Dimsum Nori"/>
  </r>
  <r>
    <x v="9"/>
    <x v="2"/>
    <x v="0"/>
    <n v="18"/>
    <n v="18000"/>
    <s v="D 24000"/>
    <n v="324000"/>
    <x v="2"/>
    <s v="Dimsum Ayam Jamur = 18000"/>
    <n v="17"/>
    <s v="Dimsum Ayam Jamur"/>
  </r>
  <r>
    <x v="16"/>
    <x v="1"/>
    <x v="0"/>
    <n v="19"/>
    <n v="12000"/>
    <s v="D 28000"/>
    <n v="228000"/>
    <x v="2"/>
    <s v="Dimsum Udang = 12000"/>
    <n v="12"/>
    <s v="Dimsum Udang"/>
  </r>
  <r>
    <x v="59"/>
    <x v="2"/>
    <x v="0"/>
    <n v="17"/>
    <n v="18000"/>
    <s v="D 06000"/>
    <n v="306000"/>
    <x v="0"/>
    <s v="Dimsum Ayam Jamur = 18000"/>
    <n v="17"/>
    <s v="Dimsum Ayam Jamur"/>
  </r>
  <r>
    <x v="74"/>
    <x v="0"/>
    <x v="0"/>
    <n v="12"/>
    <n v="18000"/>
    <s v="D 16000"/>
    <n v="216000"/>
    <x v="3"/>
    <s v="Dimsum Ayam = 18000"/>
    <n v="11"/>
    <s v="Dimsum Ayam"/>
  </r>
  <r>
    <x v="9"/>
    <x v="3"/>
    <x v="0"/>
    <n v="13"/>
    <n v="18000"/>
    <s v="D 34000"/>
    <n v="234000"/>
    <x v="2"/>
    <s v="Dimsum Nori = 18000"/>
    <n v="11"/>
    <s v="Dimsum Nori"/>
  </r>
  <r>
    <x v="33"/>
    <x v="3"/>
    <x v="0"/>
    <n v="3"/>
    <n v="20000"/>
    <s v="D 0000"/>
    <n v="60000"/>
    <x v="2"/>
    <s v="Dimsum Nori = 20000"/>
    <n v="11"/>
    <s v="Dimsum Nori"/>
  </r>
  <r>
    <x v="46"/>
    <x v="1"/>
    <x v="0"/>
    <n v="7"/>
    <n v="18000"/>
    <s v="D 26000"/>
    <n v="126000"/>
    <x v="0"/>
    <s v="Dimsum Udang = 18000"/>
    <n v="12"/>
    <s v="Dimsum Udang"/>
  </r>
  <r>
    <x v="60"/>
    <x v="1"/>
    <x v="0"/>
    <n v="13"/>
    <n v="12000"/>
    <s v="D 56000"/>
    <n v="156000"/>
    <x v="2"/>
    <s v="Dimsum Udang = 12000"/>
    <n v="12"/>
    <s v="Dimsum Udang"/>
  </r>
  <r>
    <x v="56"/>
    <x v="0"/>
    <x v="0"/>
    <n v="19"/>
    <n v="20000"/>
    <s v="D 80000"/>
    <n v="380000"/>
    <x v="1"/>
    <s v="Dimsum Ayam = 20000"/>
    <n v="11"/>
    <s v="Dimsum Ayam"/>
  </r>
  <r>
    <x v="46"/>
    <x v="0"/>
    <x v="0"/>
    <n v="15"/>
    <n v="18000"/>
    <s v="D 70000"/>
    <n v="270000"/>
    <x v="0"/>
    <s v="Dimsum Ayam = 18000"/>
    <n v="11"/>
    <s v="Dimsum Ayam"/>
  </r>
  <r>
    <x v="6"/>
    <x v="1"/>
    <x v="0"/>
    <n v="9"/>
    <n v="12000"/>
    <s v="D 08000"/>
    <n v="108000"/>
    <x v="1"/>
    <s v="Dimsum Udang = 12000"/>
    <n v="12"/>
    <s v="Dimsum Udang"/>
  </r>
  <r>
    <x v="45"/>
    <x v="2"/>
    <x v="0"/>
    <n v="17"/>
    <n v="12000"/>
    <s v="D 04000"/>
    <n v="204000"/>
    <x v="2"/>
    <s v="Dimsum Ayam Jamur = 12000"/>
    <n v="17"/>
    <s v="Dimsum Ayam Jamur"/>
  </r>
  <r>
    <x v="9"/>
    <x v="3"/>
    <x v="0"/>
    <n v="20"/>
    <n v="20000"/>
    <s v="D 00000"/>
    <n v="400000"/>
    <x v="1"/>
    <s v="Dimsum Nori = 20000"/>
    <n v="11"/>
    <s v="Dimsum Nori"/>
  </r>
  <r>
    <x v="58"/>
    <x v="0"/>
    <x v="0"/>
    <n v="1"/>
    <n v="20000"/>
    <s v="D 0000"/>
    <n v="20000"/>
    <x v="3"/>
    <s v="Dimsum Ayam = 20000"/>
    <n v="11"/>
    <s v="Dimsum Ayam"/>
  </r>
  <r>
    <x v="72"/>
    <x v="2"/>
    <x v="0"/>
    <n v="19"/>
    <n v="12000"/>
    <s v="D 28000"/>
    <n v="228000"/>
    <x v="3"/>
    <s v="Dimsum Ayam Jamur = 12000"/>
    <n v="17"/>
    <s v="Dimsum Ayam Jamur"/>
  </r>
  <r>
    <x v="14"/>
    <x v="3"/>
    <x v="0"/>
    <n v="3"/>
    <n v="12000"/>
    <s v="D 6000"/>
    <n v="36000"/>
    <x v="1"/>
    <s v="Dimsum Nori = 12000"/>
    <n v="11"/>
    <s v="Dimsum Nori"/>
  </r>
  <r>
    <x v="7"/>
    <x v="4"/>
    <x v="0"/>
    <n v="12"/>
    <n v="15000"/>
    <s v="D 80000"/>
    <n v="180000"/>
    <x v="0"/>
    <s v="Dimsum Kepiting = 15000"/>
    <n v="15"/>
    <s v="Dimsum Kepiting"/>
  </r>
  <r>
    <x v="83"/>
    <x v="3"/>
    <x v="0"/>
    <n v="12"/>
    <n v="15000"/>
    <s v="D 80000"/>
    <n v="180000"/>
    <x v="3"/>
    <s v="Dimsum Nori = 15000"/>
    <n v="11"/>
    <s v="Dimsum Nori"/>
  </r>
  <r>
    <x v="44"/>
    <x v="1"/>
    <x v="0"/>
    <n v="17"/>
    <n v="20000"/>
    <s v="D 40000"/>
    <n v="340000"/>
    <x v="3"/>
    <s v="Dimsum Udang = 20000"/>
    <n v="12"/>
    <s v="Dimsum Udang"/>
  </r>
  <r>
    <x v="70"/>
    <x v="2"/>
    <x v="0"/>
    <n v="8"/>
    <n v="20000"/>
    <s v="D 60000"/>
    <n v="160000"/>
    <x v="1"/>
    <s v="Dimsum Ayam Jamur = 20000"/>
    <n v="17"/>
    <s v="Dimsum Ayam Jamur"/>
  </r>
  <r>
    <x v="43"/>
    <x v="4"/>
    <x v="0"/>
    <n v="13"/>
    <n v="12000"/>
    <s v="D 56000"/>
    <n v="156000"/>
    <x v="1"/>
    <s v="Dimsum Kepiting = 12000"/>
    <n v="15"/>
    <s v="Dimsum Kepiting"/>
  </r>
  <r>
    <x v="9"/>
    <x v="0"/>
    <x v="0"/>
    <n v="18"/>
    <n v="20000"/>
    <s v="D 60000"/>
    <n v="360000"/>
    <x v="0"/>
    <s v="Dimsum Ayam = 20000"/>
    <n v="11"/>
    <s v="Dimsum Ayam"/>
  </r>
  <r>
    <x v="70"/>
    <x v="2"/>
    <x v="0"/>
    <n v="16"/>
    <n v="18000"/>
    <s v="D 88000"/>
    <n v="288000"/>
    <x v="3"/>
    <s v="Dimsum Ayam Jamur = 18000"/>
    <n v="17"/>
    <s v="Dimsum Ayam Jamur"/>
  </r>
  <r>
    <x v="23"/>
    <x v="3"/>
    <x v="0"/>
    <n v="4"/>
    <n v="15000"/>
    <s v="D 0000"/>
    <n v="60000"/>
    <x v="1"/>
    <s v="Dimsum Nori = 15000"/>
    <n v="11"/>
    <s v="Dimsum Nori"/>
  </r>
  <r>
    <x v="41"/>
    <x v="1"/>
    <x v="0"/>
    <n v="5"/>
    <n v="15000"/>
    <s v="D 5000"/>
    <n v="75000"/>
    <x v="1"/>
    <s v="Dimsum Udang = 15000"/>
    <n v="12"/>
    <s v="Dimsum Udang"/>
  </r>
  <r>
    <x v="54"/>
    <x v="3"/>
    <x v="0"/>
    <n v="4"/>
    <n v="12000"/>
    <s v="D 8000"/>
    <n v="48000"/>
    <x v="1"/>
    <s v="Dimsum Nori = 12000"/>
    <n v="11"/>
    <s v="Dimsum Nori"/>
  </r>
  <r>
    <x v="48"/>
    <x v="0"/>
    <x v="0"/>
    <n v="15"/>
    <n v="15000"/>
    <s v="D 25000"/>
    <n v="225000"/>
    <x v="1"/>
    <s v="Dimsum Ayam = 15000"/>
    <n v="11"/>
    <s v="Dimsum Ayam"/>
  </r>
  <r>
    <x v="39"/>
    <x v="2"/>
    <x v="0"/>
    <n v="10"/>
    <n v="20000"/>
    <s v="D 00000"/>
    <n v="200000"/>
    <x v="3"/>
    <s v="Dimsum Ayam Jamur = 20000"/>
    <n v="17"/>
    <s v="Dimsum Ayam Jamur"/>
  </r>
  <r>
    <x v="3"/>
    <x v="2"/>
    <x v="0"/>
    <n v="8"/>
    <n v="20000"/>
    <s v="D 60000"/>
    <n v="160000"/>
    <x v="1"/>
    <s v="Dimsum Ayam Jamur = 20000"/>
    <n v="17"/>
    <s v="Dimsum Ayam Jamur"/>
  </r>
  <r>
    <x v="1"/>
    <x v="2"/>
    <x v="0"/>
    <n v="9"/>
    <n v="15000"/>
    <s v="D 35000"/>
    <n v="135000"/>
    <x v="0"/>
    <s v="Dimsum Ayam Jamur = 15000"/>
    <n v="17"/>
    <s v="Dimsum Ayam Jamur"/>
  </r>
  <r>
    <x v="18"/>
    <x v="2"/>
    <x v="0"/>
    <n v="19"/>
    <n v="20000"/>
    <s v="D 80000"/>
    <n v="380000"/>
    <x v="1"/>
    <s v="Dimsum Ayam Jamur = 20000"/>
    <n v="17"/>
    <s v="Dimsum Ayam Jamur"/>
  </r>
  <r>
    <x v="53"/>
    <x v="0"/>
    <x v="0"/>
    <n v="15"/>
    <n v="18000"/>
    <s v="D 70000"/>
    <n v="270000"/>
    <x v="1"/>
    <s v="Dimsum Ayam = 18000"/>
    <n v="11"/>
    <s v="Dimsum Ayam"/>
  </r>
  <r>
    <x v="28"/>
    <x v="4"/>
    <x v="0"/>
    <n v="20"/>
    <n v="20000"/>
    <s v="D 00000"/>
    <n v="400000"/>
    <x v="3"/>
    <s v="Dimsum Kepiting = 20000"/>
    <n v="15"/>
    <s v="Dimsum Kepiting"/>
  </r>
  <r>
    <x v="59"/>
    <x v="3"/>
    <x v="0"/>
    <n v="6"/>
    <n v="20000"/>
    <s v="D 20000"/>
    <n v="120000"/>
    <x v="0"/>
    <s v="Dimsum Nori = 20000"/>
    <n v="11"/>
    <s v="Dimsum Nori"/>
  </r>
  <r>
    <x v="1"/>
    <x v="1"/>
    <x v="0"/>
    <n v="14"/>
    <n v="20000"/>
    <s v="D 80000"/>
    <n v="280000"/>
    <x v="3"/>
    <s v="Dimsum Udang = 20000"/>
    <n v="12"/>
    <s v="Dimsum Udang"/>
  </r>
  <r>
    <x v="88"/>
    <x v="0"/>
    <x v="0"/>
    <n v="8"/>
    <n v="12000"/>
    <s v="D 6000"/>
    <n v="96000"/>
    <x v="3"/>
    <s v="Dimsum Ayam = 12000"/>
    <n v="11"/>
    <s v="Dimsum Ayam"/>
  </r>
  <r>
    <x v="6"/>
    <x v="1"/>
    <x v="0"/>
    <n v="17"/>
    <n v="12000"/>
    <s v="D 04000"/>
    <n v="204000"/>
    <x v="1"/>
    <s v="Dimsum Udang = 12000"/>
    <n v="12"/>
    <s v="Dimsum Udang"/>
  </r>
  <r>
    <x v="58"/>
    <x v="3"/>
    <x v="0"/>
    <n v="4"/>
    <n v="15000"/>
    <s v="D 0000"/>
    <n v="60000"/>
    <x v="2"/>
    <s v="Dimsum Nori = 15000"/>
    <n v="11"/>
    <s v="Dimsum Nori"/>
  </r>
  <r>
    <x v="37"/>
    <x v="4"/>
    <x v="0"/>
    <n v="13"/>
    <n v="12000"/>
    <s v="D 56000"/>
    <n v="156000"/>
    <x v="0"/>
    <s v="Dimsum Kepiting = 12000"/>
    <n v="15"/>
    <s v="Dimsum Kepiting"/>
  </r>
  <r>
    <x v="30"/>
    <x v="3"/>
    <x v="0"/>
    <n v="16"/>
    <n v="12000"/>
    <s v="D 92000"/>
    <n v="192000"/>
    <x v="1"/>
    <s v="Dimsum Nori = 12000"/>
    <n v="11"/>
    <s v="Dimsum Nori"/>
  </r>
  <r>
    <x v="5"/>
    <x v="4"/>
    <x v="0"/>
    <n v="4"/>
    <n v="18000"/>
    <s v="D 2000"/>
    <n v="72000"/>
    <x v="3"/>
    <s v="Dimsum Kepiting = 18000"/>
    <n v="15"/>
    <s v="Dimsum Kepiting"/>
  </r>
  <r>
    <x v="68"/>
    <x v="2"/>
    <x v="0"/>
    <n v="12"/>
    <n v="20000"/>
    <s v="D 40000"/>
    <n v="240000"/>
    <x v="0"/>
    <s v="Dimsum Ayam Jamur = 20000"/>
    <n v="17"/>
    <s v="Dimsum Ayam Jamur"/>
  </r>
  <r>
    <x v="16"/>
    <x v="3"/>
    <x v="0"/>
    <n v="8"/>
    <n v="15000"/>
    <s v="D 20000"/>
    <n v="120000"/>
    <x v="2"/>
    <s v="Dimsum Nori = 15000"/>
    <n v="11"/>
    <s v="Dimsum Nori"/>
  </r>
  <r>
    <x v="22"/>
    <x v="0"/>
    <x v="0"/>
    <n v="3"/>
    <n v="12000"/>
    <s v="D 6000"/>
    <n v="36000"/>
    <x v="2"/>
    <s v="Dimsum Ayam = 12000"/>
    <n v="11"/>
    <s v="Dimsum Ayam"/>
  </r>
  <r>
    <x v="84"/>
    <x v="3"/>
    <x v="0"/>
    <n v="20"/>
    <n v="18000"/>
    <s v="D 60000"/>
    <n v="360000"/>
    <x v="2"/>
    <s v="Dimsum Nori = 18000"/>
    <n v="11"/>
    <s v="Dimsum Nori"/>
  </r>
  <r>
    <x v="66"/>
    <x v="2"/>
    <x v="0"/>
    <n v="16"/>
    <n v="15000"/>
    <s v="D 40000"/>
    <n v="240000"/>
    <x v="0"/>
    <s v="Dimsum Ayam Jamur = 15000"/>
    <n v="17"/>
    <s v="Dimsum Ayam Jamur"/>
  </r>
  <r>
    <x v="34"/>
    <x v="4"/>
    <x v="0"/>
    <n v="17"/>
    <n v="15000"/>
    <s v="D 55000"/>
    <n v="255000"/>
    <x v="3"/>
    <s v="Dimsum Kepiting = 15000"/>
    <n v="15"/>
    <s v="Dimsum Kepiting"/>
  </r>
  <r>
    <x v="33"/>
    <x v="0"/>
    <x v="0"/>
    <n v="11"/>
    <n v="12000"/>
    <s v="D 32000"/>
    <n v="132000"/>
    <x v="0"/>
    <s v="Dimsum Ayam = 12000"/>
    <n v="11"/>
    <s v="Dimsum Ayam"/>
  </r>
  <r>
    <x v="81"/>
    <x v="2"/>
    <x v="0"/>
    <n v="2"/>
    <n v="20000"/>
    <s v="D 0000"/>
    <n v="40000"/>
    <x v="3"/>
    <s v="Dimsum Ayam Jamur = 20000"/>
    <n v="17"/>
    <s v="Dimsum Ayam Jamur"/>
  </r>
  <r>
    <x v="86"/>
    <x v="2"/>
    <x v="0"/>
    <n v="5"/>
    <n v="15000"/>
    <s v="D 5000"/>
    <n v="75000"/>
    <x v="1"/>
    <s v="Dimsum Ayam Jamur = 15000"/>
    <n v="17"/>
    <s v="Dimsum Ayam Jamur"/>
  </r>
  <r>
    <x v="55"/>
    <x v="2"/>
    <x v="0"/>
    <n v="13"/>
    <n v="18000"/>
    <s v="D 34000"/>
    <n v="234000"/>
    <x v="1"/>
    <s v="Dimsum Ayam Jamur = 18000"/>
    <n v="17"/>
    <s v="Dimsum Ayam Jamur"/>
  </r>
  <r>
    <x v="25"/>
    <x v="3"/>
    <x v="0"/>
    <n v="1"/>
    <n v="12000"/>
    <s v="D 2000"/>
    <n v="12000"/>
    <x v="0"/>
    <s v="Dimsum Nori = 12000"/>
    <n v="11"/>
    <s v="Dimsum Nori"/>
  </r>
  <r>
    <x v="49"/>
    <x v="1"/>
    <x v="0"/>
    <n v="14"/>
    <n v="18000"/>
    <s v="D 52000"/>
    <n v="252000"/>
    <x v="1"/>
    <s v="Dimsum Udang = 18000"/>
    <n v="12"/>
    <s v="Dimsum Udang"/>
  </r>
  <r>
    <x v="44"/>
    <x v="3"/>
    <x v="0"/>
    <n v="17"/>
    <n v="18000"/>
    <s v="D 06000"/>
    <n v="306000"/>
    <x v="0"/>
    <s v="Dimsum Nori = 18000"/>
    <n v="11"/>
    <s v="Dimsum Nori"/>
  </r>
  <r>
    <x v="13"/>
    <x v="1"/>
    <x v="0"/>
    <n v="11"/>
    <n v="12000"/>
    <s v="D 32000"/>
    <n v="132000"/>
    <x v="1"/>
    <s v="Dimsum Udang = 12000"/>
    <n v="12"/>
    <s v="Dimsum Udang"/>
  </r>
  <r>
    <x v="10"/>
    <x v="2"/>
    <x v="0"/>
    <n v="14"/>
    <n v="20000"/>
    <s v="D 80000"/>
    <n v="280000"/>
    <x v="2"/>
    <s v="Dimsum Ayam Jamur = 20000"/>
    <n v="17"/>
    <s v="Dimsum Ayam Jamur"/>
  </r>
  <r>
    <x v="58"/>
    <x v="3"/>
    <x v="0"/>
    <n v="4"/>
    <n v="12000"/>
    <s v="D 8000"/>
    <n v="48000"/>
    <x v="2"/>
    <s v="Dimsum Nori = 12000"/>
    <n v="11"/>
    <s v="Dimsum Nori"/>
  </r>
  <r>
    <x v="19"/>
    <x v="4"/>
    <x v="0"/>
    <n v="6"/>
    <n v="18000"/>
    <s v="D 08000"/>
    <n v="108000"/>
    <x v="2"/>
    <s v="Dimsum Kepiting = 18000"/>
    <n v="15"/>
    <s v="Dimsum Kepiting"/>
  </r>
  <r>
    <x v="44"/>
    <x v="4"/>
    <x v="0"/>
    <n v="2"/>
    <n v="12000"/>
    <s v="D 4000"/>
    <n v="24000"/>
    <x v="1"/>
    <s v="Dimsum Kepiting = 12000"/>
    <n v="15"/>
    <s v="Dimsum Kepiting"/>
  </r>
  <r>
    <x v="28"/>
    <x v="1"/>
    <x v="0"/>
    <n v="14"/>
    <n v="15000"/>
    <s v="D 10000"/>
    <n v="210000"/>
    <x v="2"/>
    <s v="Dimsum Udang = 15000"/>
    <n v="12"/>
    <s v="Dimsum Udang"/>
  </r>
  <r>
    <x v="80"/>
    <x v="2"/>
    <x v="0"/>
    <n v="14"/>
    <n v="20000"/>
    <s v="D 80000"/>
    <n v="280000"/>
    <x v="3"/>
    <s v="Dimsum Ayam Jamur = 20000"/>
    <n v="17"/>
    <s v="Dimsum Ayam Jamur"/>
  </r>
  <r>
    <x v="24"/>
    <x v="0"/>
    <x v="0"/>
    <n v="20"/>
    <n v="20000"/>
    <s v="D 00000"/>
    <n v="400000"/>
    <x v="0"/>
    <s v="Dimsum Ayam = 20000"/>
    <n v="11"/>
    <s v="Dimsum Ayam"/>
  </r>
  <r>
    <x v="23"/>
    <x v="2"/>
    <x v="0"/>
    <n v="4"/>
    <n v="18000"/>
    <s v="D 2000"/>
    <n v="72000"/>
    <x v="1"/>
    <s v="Dimsum Ayam Jamur = 18000"/>
    <n v="17"/>
    <s v="Dimsum Ayam Jamur"/>
  </r>
  <r>
    <x v="14"/>
    <x v="4"/>
    <x v="0"/>
    <n v="16"/>
    <n v="12000"/>
    <s v="D 92000"/>
    <n v="192000"/>
    <x v="2"/>
    <s v="Dimsum Kepiting = 12000"/>
    <n v="15"/>
    <s v="Dimsum Kepiting"/>
  </r>
  <r>
    <x v="27"/>
    <x v="3"/>
    <x v="0"/>
    <n v="9"/>
    <n v="15000"/>
    <s v="D 35000"/>
    <n v="135000"/>
    <x v="1"/>
    <s v="Dimsum Nori = 15000"/>
    <n v="11"/>
    <s v="Dimsum Nori"/>
  </r>
  <r>
    <x v="9"/>
    <x v="0"/>
    <x v="0"/>
    <n v="8"/>
    <n v="18000"/>
    <s v="D 44000"/>
    <n v="144000"/>
    <x v="2"/>
    <s v="Dimsum Ayam = 18000"/>
    <n v="11"/>
    <s v="Dimsum Ayam"/>
  </r>
  <r>
    <x v="39"/>
    <x v="1"/>
    <x v="0"/>
    <n v="2"/>
    <n v="15000"/>
    <s v="D 0000"/>
    <n v="30000"/>
    <x v="1"/>
    <s v="Dimsum Udang = 15000"/>
    <n v="12"/>
    <s v="Dimsum Udang"/>
  </r>
  <r>
    <x v="37"/>
    <x v="0"/>
    <x v="0"/>
    <n v="13"/>
    <n v="15000"/>
    <s v="D 95000"/>
    <n v="195000"/>
    <x v="1"/>
    <s v="Dimsum Ayam = 15000"/>
    <n v="11"/>
    <s v="Dimsum Ayam"/>
  </r>
  <r>
    <x v="25"/>
    <x v="4"/>
    <x v="0"/>
    <n v="14"/>
    <n v="15000"/>
    <s v="D 10000"/>
    <n v="210000"/>
    <x v="2"/>
    <s v="Dimsum Kepiting = 15000"/>
    <n v="15"/>
    <s v="Dimsum Kepiting"/>
  </r>
  <r>
    <x v="39"/>
    <x v="2"/>
    <x v="0"/>
    <n v="10"/>
    <n v="18000"/>
    <s v="D 80000"/>
    <n v="180000"/>
    <x v="0"/>
    <s v="Dimsum Ayam Jamur = 18000"/>
    <n v="17"/>
    <s v="Dimsum Ayam Jamur"/>
  </r>
  <r>
    <x v="12"/>
    <x v="0"/>
    <x v="0"/>
    <n v="6"/>
    <n v="18000"/>
    <s v="D 08000"/>
    <n v="108000"/>
    <x v="0"/>
    <s v="Dimsum Ayam = 18000"/>
    <n v="11"/>
    <s v="Dimsum Ayam"/>
  </r>
  <r>
    <x v="22"/>
    <x v="3"/>
    <x v="0"/>
    <n v="4"/>
    <n v="12000"/>
    <s v="D 8000"/>
    <n v="48000"/>
    <x v="1"/>
    <s v="Dimsum Nori = 12000"/>
    <n v="11"/>
    <s v="Dimsum Nori"/>
  </r>
  <r>
    <x v="20"/>
    <x v="2"/>
    <x v="0"/>
    <n v="17"/>
    <n v="20000"/>
    <s v="D 40000"/>
    <n v="340000"/>
    <x v="2"/>
    <s v="Dimsum Ayam Jamur = 20000"/>
    <n v="17"/>
    <s v="Dimsum Ayam Jamur"/>
  </r>
  <r>
    <x v="8"/>
    <x v="3"/>
    <x v="0"/>
    <n v="7"/>
    <n v="12000"/>
    <s v="D 4000"/>
    <n v="84000"/>
    <x v="1"/>
    <s v="Dimsum Nori = 12000"/>
    <n v="11"/>
    <s v="Dimsum Nori"/>
  </r>
  <r>
    <x v="56"/>
    <x v="4"/>
    <x v="0"/>
    <n v="19"/>
    <n v="15000"/>
    <s v="D 85000"/>
    <n v="285000"/>
    <x v="1"/>
    <s v="Dimsum Kepiting = 15000"/>
    <n v="15"/>
    <s v="Dimsum Kepiting"/>
  </r>
  <r>
    <x v="15"/>
    <x v="1"/>
    <x v="0"/>
    <n v="8"/>
    <n v="15000"/>
    <s v="D 20000"/>
    <n v="120000"/>
    <x v="3"/>
    <s v="Dimsum Udang = 15000"/>
    <n v="12"/>
    <s v="Dimsum Udang"/>
  </r>
  <r>
    <x v="58"/>
    <x v="2"/>
    <x v="0"/>
    <n v="2"/>
    <n v="20000"/>
    <s v="D 0000"/>
    <n v="40000"/>
    <x v="2"/>
    <s v="Dimsum Ayam Jamur = 20000"/>
    <n v="17"/>
    <s v="Dimsum Ayam Jamur"/>
  </r>
  <r>
    <x v="61"/>
    <x v="0"/>
    <x v="0"/>
    <n v="14"/>
    <n v="12000"/>
    <s v="D 68000"/>
    <n v="168000"/>
    <x v="0"/>
    <s v="Dimsum Ayam = 12000"/>
    <n v="11"/>
    <s v="Dimsum Ayam"/>
  </r>
  <r>
    <x v="14"/>
    <x v="0"/>
    <x v="0"/>
    <n v="11"/>
    <n v="20000"/>
    <s v="D 20000"/>
    <n v="220000"/>
    <x v="1"/>
    <s v="Dimsum Ayam = 20000"/>
    <n v="11"/>
    <s v="Dimsum Ayam"/>
  </r>
  <r>
    <x v="77"/>
    <x v="0"/>
    <x v="0"/>
    <n v="4"/>
    <n v="20000"/>
    <s v="D 0000"/>
    <n v="80000"/>
    <x v="3"/>
    <s v="Dimsum Ayam = 20000"/>
    <n v="11"/>
    <s v="Dimsum Ayam"/>
  </r>
  <r>
    <x v="69"/>
    <x v="0"/>
    <x v="0"/>
    <n v="10"/>
    <n v="18000"/>
    <s v="D 80000"/>
    <n v="180000"/>
    <x v="1"/>
    <s v="Dimsum Ayam = 18000"/>
    <n v="11"/>
    <s v="Dimsum Ayam"/>
  </r>
  <r>
    <x v="6"/>
    <x v="3"/>
    <x v="0"/>
    <n v="8"/>
    <n v="18000"/>
    <s v="D 44000"/>
    <n v="144000"/>
    <x v="2"/>
    <s v="Dimsum Nori = 18000"/>
    <n v="11"/>
    <s v="Dimsum Nori"/>
  </r>
  <r>
    <x v="30"/>
    <x v="4"/>
    <x v="0"/>
    <n v="16"/>
    <n v="15000"/>
    <s v="D 40000"/>
    <n v="240000"/>
    <x v="0"/>
    <s v="Dimsum Kepiting = 15000"/>
    <n v="15"/>
    <s v="Dimsum Kepiting"/>
  </r>
  <r>
    <x v="71"/>
    <x v="2"/>
    <x v="0"/>
    <n v="1"/>
    <n v="15000"/>
    <s v="D 5000"/>
    <n v="15000"/>
    <x v="3"/>
    <s v="Dimsum Ayam Jamur = 15000"/>
    <n v="17"/>
    <s v="Dimsum Ayam Jamur"/>
  </r>
  <r>
    <x v="41"/>
    <x v="1"/>
    <x v="0"/>
    <n v="19"/>
    <n v="20000"/>
    <s v="D 80000"/>
    <n v="380000"/>
    <x v="3"/>
    <s v="Dimsum Udang = 20000"/>
    <n v="12"/>
    <s v="Dimsum Udang"/>
  </r>
  <r>
    <x v="23"/>
    <x v="4"/>
    <x v="0"/>
    <n v="16"/>
    <n v="15000"/>
    <s v="D 40000"/>
    <n v="240000"/>
    <x v="3"/>
    <s v="Dimsum Kepiting = 15000"/>
    <n v="15"/>
    <s v="Dimsum Kepiting"/>
  </r>
  <r>
    <x v="30"/>
    <x v="4"/>
    <x v="0"/>
    <n v="9"/>
    <n v="15000"/>
    <s v="D 35000"/>
    <n v="135000"/>
    <x v="3"/>
    <s v="Dimsum Kepiting = 15000"/>
    <n v="15"/>
    <s v="Dimsum Kepiting"/>
  </r>
  <r>
    <x v="36"/>
    <x v="0"/>
    <x v="0"/>
    <n v="14"/>
    <n v="15000"/>
    <s v="D 10000"/>
    <n v="210000"/>
    <x v="0"/>
    <s v="Dimsum Ayam = 15000"/>
    <n v="11"/>
    <s v="Dimsum Ayam"/>
  </r>
  <r>
    <x v="23"/>
    <x v="0"/>
    <x v="0"/>
    <n v="15"/>
    <n v="20000"/>
    <s v="D 00000"/>
    <n v="300000"/>
    <x v="1"/>
    <s v="Dimsum Ayam = 20000"/>
    <n v="11"/>
    <s v="Dimsum Ayam"/>
  </r>
  <r>
    <x v="11"/>
    <x v="0"/>
    <x v="0"/>
    <n v="14"/>
    <n v="18000"/>
    <s v="D 52000"/>
    <n v="252000"/>
    <x v="2"/>
    <s v="Dimsum Ayam = 18000"/>
    <n v="11"/>
    <s v="Dimsum Ayam"/>
  </r>
  <r>
    <x v="63"/>
    <x v="4"/>
    <x v="0"/>
    <n v="13"/>
    <n v="12000"/>
    <s v="D 56000"/>
    <n v="156000"/>
    <x v="3"/>
    <s v="Dimsum Kepiting = 12000"/>
    <n v="15"/>
    <s v="Dimsum Kepiting"/>
  </r>
  <r>
    <x v="24"/>
    <x v="0"/>
    <x v="0"/>
    <n v="7"/>
    <n v="20000"/>
    <s v="D 40000"/>
    <n v="140000"/>
    <x v="3"/>
    <s v="Dimsum Ayam = 20000"/>
    <n v="11"/>
    <s v="Dimsum Ayam"/>
  </r>
  <r>
    <x v="84"/>
    <x v="2"/>
    <x v="0"/>
    <n v="17"/>
    <n v="20000"/>
    <s v="D 40000"/>
    <n v="340000"/>
    <x v="3"/>
    <s v="Dimsum Ayam Jamur = 20000"/>
    <n v="17"/>
    <s v="Dimsum Ayam Jamur"/>
  </r>
  <r>
    <x v="25"/>
    <x v="0"/>
    <x v="0"/>
    <n v="2"/>
    <n v="12000"/>
    <s v="D 4000"/>
    <n v="24000"/>
    <x v="2"/>
    <s v="Dimsum Ayam = 12000"/>
    <n v="11"/>
    <s v="Dimsum Ayam"/>
  </r>
  <r>
    <x v="49"/>
    <x v="2"/>
    <x v="0"/>
    <n v="18"/>
    <n v="15000"/>
    <s v="D 70000"/>
    <n v="270000"/>
    <x v="0"/>
    <s v="Dimsum Ayam Jamur = 15000"/>
    <n v="17"/>
    <s v="Dimsum Ayam Jamu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9"/>
    <n v="15000"/>
    <n v="135000"/>
    <s v="Transfer"/>
  </r>
  <r>
    <x v="1"/>
    <x v="1"/>
    <x v="0"/>
    <n v="3"/>
    <n v="18000"/>
    <n v="54000"/>
    <s v="Cash"/>
  </r>
  <r>
    <x v="2"/>
    <x v="1"/>
    <x v="0"/>
    <n v="17"/>
    <n v="18000"/>
    <n v="306000"/>
    <s v="Transfer"/>
  </r>
  <r>
    <x v="3"/>
    <x v="2"/>
    <x v="0"/>
    <n v="9"/>
    <n v="15000"/>
    <n v="135000"/>
    <s v="Transfer"/>
  </r>
  <r>
    <x v="4"/>
    <x v="0"/>
    <x v="0"/>
    <n v="17"/>
    <n v="15000"/>
    <n v="255000"/>
    <s v="QRIS"/>
  </r>
  <r>
    <x v="5"/>
    <x v="1"/>
    <x v="0"/>
    <n v="10"/>
    <n v="20000"/>
    <n v="200000"/>
    <s v="E-Wallet"/>
  </r>
  <r>
    <x v="6"/>
    <x v="0"/>
    <x v="0"/>
    <n v="9"/>
    <n v="15000"/>
    <n v="135000"/>
    <s v="Cash"/>
  </r>
  <r>
    <x v="1"/>
    <x v="3"/>
    <x v="0"/>
    <n v="16"/>
    <n v="15000"/>
    <n v="240000"/>
    <s v="QRIS"/>
  </r>
  <r>
    <x v="7"/>
    <x v="2"/>
    <x v="0"/>
    <n v="4"/>
    <n v="15000"/>
    <n v="60000"/>
    <s v="QRIS"/>
  </r>
  <r>
    <x v="8"/>
    <x v="1"/>
    <x v="0"/>
    <n v="19"/>
    <n v="20000"/>
    <n v="380000"/>
    <s v="Transfer"/>
  </r>
  <r>
    <x v="9"/>
    <x v="4"/>
    <x v="0"/>
    <n v="7"/>
    <n v="18000"/>
    <n v="126000"/>
    <s v="QRIS"/>
  </r>
  <r>
    <x v="10"/>
    <x v="4"/>
    <x v="0"/>
    <n v="18"/>
    <n v="18000"/>
    <n v="324000"/>
    <s v="QRIS"/>
  </r>
  <r>
    <x v="11"/>
    <x v="2"/>
    <x v="0"/>
    <n v="18"/>
    <n v="15000"/>
    <n v="270000"/>
    <s v="Transfer"/>
  </r>
  <r>
    <x v="12"/>
    <x v="4"/>
    <x v="0"/>
    <n v="4"/>
    <n v="18000"/>
    <n v="72000"/>
    <s v="QRIS"/>
  </r>
  <r>
    <x v="13"/>
    <x v="0"/>
    <x v="0"/>
    <n v="12"/>
    <n v="15000"/>
    <n v="180000"/>
    <s v="Transfer"/>
  </r>
  <r>
    <x v="12"/>
    <x v="0"/>
    <x v="0"/>
    <n v="13"/>
    <n v="20000"/>
    <n v="260000"/>
    <s v="Cash"/>
  </r>
  <r>
    <x v="14"/>
    <x v="0"/>
    <x v="0"/>
    <n v="7"/>
    <n v="15000"/>
    <n v="105000"/>
    <s v="Transfer"/>
  </r>
  <r>
    <x v="15"/>
    <x v="0"/>
    <x v="0"/>
    <n v="19"/>
    <n v="12000"/>
    <n v="228000"/>
    <s v="QRIS"/>
  </r>
  <r>
    <x v="12"/>
    <x v="4"/>
    <x v="0"/>
    <n v="3"/>
    <n v="20000"/>
    <n v="60000"/>
    <s v="Cash"/>
  </r>
  <r>
    <x v="3"/>
    <x v="1"/>
    <x v="0"/>
    <n v="1"/>
    <n v="12000"/>
    <n v="12000"/>
    <s v="E-Wallet"/>
  </r>
  <r>
    <x v="16"/>
    <x v="0"/>
    <x v="0"/>
    <n v="1"/>
    <n v="12000"/>
    <n v="12000"/>
    <s v="Cash"/>
  </r>
  <r>
    <x v="17"/>
    <x v="2"/>
    <x v="0"/>
    <n v="17"/>
    <n v="15000"/>
    <n v="255000"/>
    <s v="E-Wallet"/>
  </r>
  <r>
    <x v="18"/>
    <x v="0"/>
    <x v="0"/>
    <n v="10"/>
    <n v="12000"/>
    <n v="120000"/>
    <s v="E-Wallet"/>
  </r>
  <r>
    <x v="19"/>
    <x v="3"/>
    <x v="0"/>
    <n v="4"/>
    <n v="12000"/>
    <n v="48000"/>
    <s v="Cash"/>
  </r>
  <r>
    <x v="20"/>
    <x v="1"/>
    <x v="0"/>
    <n v="6"/>
    <n v="18000"/>
    <n v="108000"/>
    <s v="Transfer"/>
  </r>
  <r>
    <x v="11"/>
    <x v="2"/>
    <x v="0"/>
    <n v="8"/>
    <n v="18000"/>
    <n v="144000"/>
    <s v="E-Wallet"/>
  </r>
  <r>
    <x v="20"/>
    <x v="3"/>
    <x v="0"/>
    <n v="19"/>
    <n v="12000"/>
    <n v="228000"/>
    <s v="E-Wallet"/>
  </r>
  <r>
    <x v="21"/>
    <x v="2"/>
    <x v="0"/>
    <n v="17"/>
    <n v="12000"/>
    <n v="204000"/>
    <s v="Cash"/>
  </r>
  <r>
    <x v="3"/>
    <x v="0"/>
    <x v="0"/>
    <n v="19"/>
    <n v="15000"/>
    <n v="285000"/>
    <s v="Transfer"/>
  </r>
  <r>
    <x v="22"/>
    <x v="4"/>
    <x v="0"/>
    <n v="4"/>
    <n v="12000"/>
    <n v="48000"/>
    <s v="Cash"/>
  </r>
  <r>
    <x v="3"/>
    <x v="1"/>
    <x v="0"/>
    <n v="15"/>
    <n v="12000"/>
    <n v="180000"/>
    <s v="E-Wallet"/>
  </r>
  <r>
    <x v="23"/>
    <x v="0"/>
    <x v="0"/>
    <n v="13"/>
    <n v="15000"/>
    <n v="195000"/>
    <s v="Transfer"/>
  </r>
  <r>
    <x v="15"/>
    <x v="3"/>
    <x v="0"/>
    <n v="20"/>
    <n v="12000"/>
    <n v="240000"/>
    <s v="QRIS"/>
  </r>
  <r>
    <x v="24"/>
    <x v="4"/>
    <x v="0"/>
    <n v="9"/>
    <n v="20000"/>
    <n v="180000"/>
    <s v="Cash"/>
  </r>
  <r>
    <x v="25"/>
    <x v="3"/>
    <x v="0"/>
    <n v="7"/>
    <n v="15000"/>
    <n v="105000"/>
    <s v="E-Wallet"/>
  </r>
  <r>
    <x v="26"/>
    <x v="2"/>
    <x v="0"/>
    <n v="18"/>
    <n v="18000"/>
    <n v="324000"/>
    <s v="QRIS"/>
  </r>
  <r>
    <x v="17"/>
    <x v="0"/>
    <x v="0"/>
    <n v="8"/>
    <n v="15000"/>
    <n v="120000"/>
    <s v="E-Wallet"/>
  </r>
  <r>
    <x v="27"/>
    <x v="4"/>
    <x v="0"/>
    <n v="6"/>
    <n v="18000"/>
    <n v="108000"/>
    <s v="Cash"/>
  </r>
  <r>
    <x v="15"/>
    <x v="3"/>
    <x v="0"/>
    <n v="18"/>
    <n v="12000"/>
    <n v="216000"/>
    <s v="E-Wallet"/>
  </r>
  <r>
    <x v="3"/>
    <x v="4"/>
    <x v="0"/>
    <n v="7"/>
    <n v="20000"/>
    <n v="140000"/>
    <s v="E-Wallet"/>
  </r>
  <r>
    <x v="7"/>
    <x v="3"/>
    <x v="0"/>
    <n v="7"/>
    <n v="15000"/>
    <n v="105000"/>
    <s v="E-Wallet"/>
  </r>
  <r>
    <x v="7"/>
    <x v="4"/>
    <x v="0"/>
    <n v="9"/>
    <n v="12000"/>
    <n v="108000"/>
    <s v="E-Wallet"/>
  </r>
  <r>
    <x v="28"/>
    <x v="3"/>
    <x v="0"/>
    <n v="20"/>
    <n v="12000"/>
    <n v="240000"/>
    <s v="E-Wallet"/>
  </r>
  <r>
    <x v="29"/>
    <x v="3"/>
    <x v="0"/>
    <n v="11"/>
    <n v="18000"/>
    <n v="198000"/>
    <s v="Transfer"/>
  </r>
  <r>
    <x v="28"/>
    <x v="0"/>
    <x v="0"/>
    <n v="3"/>
    <n v="15000"/>
    <n v="45000"/>
    <s v="QRIS"/>
  </r>
  <r>
    <x v="30"/>
    <x v="3"/>
    <x v="0"/>
    <n v="15"/>
    <n v="15000"/>
    <n v="225000"/>
    <s v="Transfer"/>
  </r>
  <r>
    <x v="31"/>
    <x v="4"/>
    <x v="0"/>
    <n v="14"/>
    <n v="18000"/>
    <n v="252000"/>
    <s v="Cash"/>
  </r>
  <r>
    <x v="32"/>
    <x v="2"/>
    <x v="0"/>
    <n v="1"/>
    <n v="18000"/>
    <n v="18000"/>
    <s v="Transfer"/>
  </r>
  <r>
    <x v="20"/>
    <x v="2"/>
    <x v="0"/>
    <n v="14"/>
    <n v="20000"/>
    <n v="280000"/>
    <s v="QRIS"/>
  </r>
  <r>
    <x v="30"/>
    <x v="4"/>
    <x v="0"/>
    <n v="6"/>
    <n v="15000"/>
    <n v="90000"/>
    <s v="E-Wallet"/>
  </r>
  <r>
    <x v="20"/>
    <x v="4"/>
    <x v="0"/>
    <n v="7"/>
    <n v="20000"/>
    <n v="140000"/>
    <s v="E-Wallet"/>
  </r>
  <r>
    <x v="17"/>
    <x v="4"/>
    <x v="0"/>
    <n v="7"/>
    <n v="18000"/>
    <n v="126000"/>
    <s v="QRIS"/>
  </r>
  <r>
    <x v="10"/>
    <x v="4"/>
    <x v="0"/>
    <n v="14"/>
    <n v="18000"/>
    <n v="252000"/>
    <s v="Transfer"/>
  </r>
  <r>
    <x v="33"/>
    <x v="1"/>
    <x v="0"/>
    <n v="10"/>
    <n v="18000"/>
    <n v="180000"/>
    <s v="QRIS"/>
  </r>
  <r>
    <x v="34"/>
    <x v="4"/>
    <x v="0"/>
    <n v="20"/>
    <n v="15000"/>
    <n v="300000"/>
    <s v="QRIS"/>
  </r>
  <r>
    <x v="35"/>
    <x v="3"/>
    <x v="0"/>
    <n v="6"/>
    <n v="12000"/>
    <n v="72000"/>
    <s v="Cash"/>
  </r>
  <r>
    <x v="36"/>
    <x v="0"/>
    <x v="0"/>
    <n v="6"/>
    <n v="20000"/>
    <n v="120000"/>
    <s v="QRIS"/>
  </r>
  <r>
    <x v="11"/>
    <x v="1"/>
    <x v="0"/>
    <n v="10"/>
    <n v="20000"/>
    <n v="200000"/>
    <s v="QRIS"/>
  </r>
  <r>
    <x v="37"/>
    <x v="0"/>
    <x v="0"/>
    <n v="6"/>
    <n v="12000"/>
    <n v="72000"/>
    <s v="E-Wallet"/>
  </r>
  <r>
    <x v="23"/>
    <x v="3"/>
    <x v="0"/>
    <n v="6"/>
    <n v="20000"/>
    <n v="120000"/>
    <s v="Cash"/>
  </r>
  <r>
    <x v="37"/>
    <x v="3"/>
    <x v="0"/>
    <n v="17"/>
    <n v="20000"/>
    <n v="340000"/>
    <s v="Cash"/>
  </r>
  <r>
    <x v="30"/>
    <x v="4"/>
    <x v="0"/>
    <n v="10"/>
    <n v="20000"/>
    <n v="200000"/>
    <s v="Transfer"/>
  </r>
  <r>
    <x v="17"/>
    <x v="0"/>
    <x v="0"/>
    <n v="10"/>
    <n v="18000"/>
    <n v="180000"/>
    <s v="Transfer"/>
  </r>
  <r>
    <x v="38"/>
    <x v="3"/>
    <x v="0"/>
    <n v="4"/>
    <n v="12000"/>
    <n v="48000"/>
    <s v="E-Wallet"/>
  </r>
  <r>
    <x v="29"/>
    <x v="3"/>
    <x v="0"/>
    <n v="14"/>
    <n v="18000"/>
    <n v="252000"/>
    <s v="Cash"/>
  </r>
  <r>
    <x v="14"/>
    <x v="4"/>
    <x v="0"/>
    <n v="17"/>
    <n v="15000"/>
    <n v="255000"/>
    <s v="Cash"/>
  </r>
  <r>
    <x v="39"/>
    <x v="3"/>
    <x v="0"/>
    <n v="16"/>
    <n v="12000"/>
    <n v="192000"/>
    <s v="Transfer"/>
  </r>
  <r>
    <x v="40"/>
    <x v="3"/>
    <x v="0"/>
    <n v="18"/>
    <n v="20000"/>
    <n v="360000"/>
    <s v="Cash"/>
  </r>
  <r>
    <x v="6"/>
    <x v="0"/>
    <x v="0"/>
    <n v="12"/>
    <n v="18000"/>
    <n v="216000"/>
    <s v="Transfer"/>
  </r>
  <r>
    <x v="41"/>
    <x v="2"/>
    <x v="0"/>
    <n v="6"/>
    <n v="18000"/>
    <n v="108000"/>
    <s v="Cash"/>
  </r>
  <r>
    <x v="35"/>
    <x v="0"/>
    <x v="0"/>
    <n v="19"/>
    <n v="20000"/>
    <n v="380000"/>
    <s v="QRIS"/>
  </r>
  <r>
    <x v="42"/>
    <x v="4"/>
    <x v="0"/>
    <n v="3"/>
    <n v="18000"/>
    <n v="54000"/>
    <s v="Transfer"/>
  </r>
  <r>
    <x v="43"/>
    <x v="4"/>
    <x v="0"/>
    <n v="10"/>
    <n v="12000"/>
    <n v="120000"/>
    <s v="Transfer"/>
  </r>
  <r>
    <x v="44"/>
    <x v="1"/>
    <x v="0"/>
    <n v="2"/>
    <n v="18000"/>
    <n v="36000"/>
    <s v="QRIS"/>
  </r>
  <r>
    <x v="7"/>
    <x v="2"/>
    <x v="0"/>
    <n v="8"/>
    <n v="18000"/>
    <n v="144000"/>
    <s v="Transfer"/>
  </r>
  <r>
    <x v="39"/>
    <x v="4"/>
    <x v="0"/>
    <n v="6"/>
    <n v="18000"/>
    <n v="108000"/>
    <s v="QRIS"/>
  </r>
  <r>
    <x v="45"/>
    <x v="2"/>
    <x v="0"/>
    <n v="12"/>
    <n v="18000"/>
    <n v="216000"/>
    <s v="QRIS"/>
  </r>
  <r>
    <x v="31"/>
    <x v="1"/>
    <x v="0"/>
    <n v="5"/>
    <n v="12000"/>
    <n v="60000"/>
    <s v="Transfer"/>
  </r>
  <r>
    <x v="46"/>
    <x v="4"/>
    <x v="0"/>
    <n v="13"/>
    <n v="12000"/>
    <n v="156000"/>
    <s v="Cash"/>
  </r>
  <r>
    <x v="47"/>
    <x v="2"/>
    <x v="0"/>
    <n v="18"/>
    <n v="15000"/>
    <n v="270000"/>
    <s v="Transfer"/>
  </r>
  <r>
    <x v="21"/>
    <x v="2"/>
    <x v="0"/>
    <n v="16"/>
    <n v="12000"/>
    <n v="192000"/>
    <s v="Transfer"/>
  </r>
  <r>
    <x v="48"/>
    <x v="2"/>
    <x v="0"/>
    <n v="12"/>
    <n v="18000"/>
    <n v="216000"/>
    <s v="Transfer"/>
  </r>
  <r>
    <x v="49"/>
    <x v="3"/>
    <x v="0"/>
    <n v="15"/>
    <n v="18000"/>
    <n v="270000"/>
    <s v="QRIS"/>
  </r>
  <r>
    <x v="50"/>
    <x v="2"/>
    <x v="0"/>
    <n v="12"/>
    <n v="18000"/>
    <n v="216000"/>
    <s v="Cash"/>
  </r>
  <r>
    <x v="51"/>
    <x v="0"/>
    <x v="0"/>
    <n v="7"/>
    <n v="18000"/>
    <n v="126000"/>
    <s v="Transfer"/>
  </r>
  <r>
    <x v="48"/>
    <x v="0"/>
    <x v="0"/>
    <n v="12"/>
    <n v="12000"/>
    <n v="144000"/>
    <s v="Transfer"/>
  </r>
  <r>
    <x v="52"/>
    <x v="2"/>
    <x v="0"/>
    <n v="5"/>
    <n v="12000"/>
    <n v="60000"/>
    <s v="E-Wallet"/>
  </r>
  <r>
    <x v="22"/>
    <x v="1"/>
    <x v="0"/>
    <n v="13"/>
    <n v="15000"/>
    <n v="195000"/>
    <s v="QRIS"/>
  </r>
  <r>
    <x v="1"/>
    <x v="2"/>
    <x v="0"/>
    <n v="2"/>
    <n v="15000"/>
    <n v="30000"/>
    <s v="Cash"/>
  </r>
  <r>
    <x v="53"/>
    <x v="3"/>
    <x v="0"/>
    <n v="12"/>
    <n v="12000"/>
    <n v="144000"/>
    <s v="E-Wallet"/>
  </r>
  <r>
    <x v="20"/>
    <x v="1"/>
    <x v="0"/>
    <n v="8"/>
    <n v="12000"/>
    <n v="96000"/>
    <s v="Transfer"/>
  </r>
  <r>
    <x v="16"/>
    <x v="4"/>
    <x v="0"/>
    <n v="8"/>
    <n v="15000"/>
    <n v="120000"/>
    <s v="Transfer"/>
  </r>
  <r>
    <x v="54"/>
    <x v="3"/>
    <x v="0"/>
    <n v="16"/>
    <n v="18000"/>
    <n v="288000"/>
    <s v="QRIS"/>
  </r>
  <r>
    <x v="55"/>
    <x v="3"/>
    <x v="0"/>
    <n v="1"/>
    <n v="15000"/>
    <n v="15000"/>
    <s v="Cash"/>
  </r>
  <r>
    <x v="56"/>
    <x v="4"/>
    <x v="0"/>
    <n v="19"/>
    <n v="12000"/>
    <n v="228000"/>
    <s v="Transfer"/>
  </r>
  <r>
    <x v="39"/>
    <x v="3"/>
    <x v="0"/>
    <n v="18"/>
    <n v="12000"/>
    <n v="216000"/>
    <s v="Cash"/>
  </r>
  <r>
    <x v="5"/>
    <x v="1"/>
    <x v="0"/>
    <n v="20"/>
    <n v="18000"/>
    <n v="360000"/>
    <s v="E-Wallet"/>
  </r>
  <r>
    <x v="49"/>
    <x v="3"/>
    <x v="0"/>
    <n v="7"/>
    <n v="20000"/>
    <n v="140000"/>
    <s v="Cash"/>
  </r>
  <r>
    <x v="34"/>
    <x v="0"/>
    <x v="0"/>
    <n v="13"/>
    <n v="12000"/>
    <n v="156000"/>
    <s v="Cash"/>
  </r>
  <r>
    <x v="51"/>
    <x v="4"/>
    <x v="0"/>
    <n v="6"/>
    <n v="15000"/>
    <n v="90000"/>
    <s v="Transfer"/>
  </r>
  <r>
    <x v="57"/>
    <x v="1"/>
    <x v="0"/>
    <n v="5"/>
    <n v="15000"/>
    <n v="75000"/>
    <s v="QRIS"/>
  </r>
  <r>
    <x v="33"/>
    <x v="4"/>
    <x v="0"/>
    <n v="17"/>
    <n v="15000"/>
    <n v="255000"/>
    <s v="Cash"/>
  </r>
  <r>
    <x v="39"/>
    <x v="0"/>
    <x v="0"/>
    <n v="16"/>
    <n v="15000"/>
    <n v="240000"/>
    <s v="Transfer"/>
  </r>
  <r>
    <x v="54"/>
    <x v="3"/>
    <x v="0"/>
    <n v="9"/>
    <n v="15000"/>
    <n v="135000"/>
    <s v="QRIS"/>
  </r>
  <r>
    <x v="0"/>
    <x v="4"/>
    <x v="0"/>
    <n v="5"/>
    <n v="15000"/>
    <n v="75000"/>
    <s v="QRIS"/>
  </r>
  <r>
    <x v="37"/>
    <x v="1"/>
    <x v="0"/>
    <n v="1"/>
    <n v="12000"/>
    <n v="12000"/>
    <s v="E-Wallet"/>
  </r>
  <r>
    <x v="31"/>
    <x v="0"/>
    <x v="0"/>
    <n v="5"/>
    <n v="12000"/>
    <n v="60000"/>
    <s v="Cash"/>
  </r>
  <r>
    <x v="42"/>
    <x v="0"/>
    <x v="0"/>
    <n v="12"/>
    <n v="12000"/>
    <n v="144000"/>
    <s v="Transfer"/>
  </r>
  <r>
    <x v="20"/>
    <x v="1"/>
    <x v="0"/>
    <n v="20"/>
    <n v="12000"/>
    <n v="240000"/>
    <s v="QRIS"/>
  </r>
  <r>
    <x v="16"/>
    <x v="1"/>
    <x v="0"/>
    <n v="4"/>
    <n v="20000"/>
    <n v="80000"/>
    <s v="E-Wallet"/>
  </r>
  <r>
    <x v="27"/>
    <x v="3"/>
    <x v="0"/>
    <n v="4"/>
    <n v="20000"/>
    <n v="80000"/>
    <s v="E-Wallet"/>
  </r>
  <r>
    <x v="58"/>
    <x v="0"/>
    <x v="0"/>
    <n v="16"/>
    <n v="15000"/>
    <n v="240000"/>
    <s v="Transfer"/>
  </r>
  <r>
    <x v="59"/>
    <x v="2"/>
    <x v="0"/>
    <n v="4"/>
    <n v="15000"/>
    <n v="60000"/>
    <s v="E-Wallet"/>
  </r>
  <r>
    <x v="60"/>
    <x v="1"/>
    <x v="0"/>
    <n v="1"/>
    <n v="12000"/>
    <n v="12000"/>
    <s v="Transfer"/>
  </r>
  <r>
    <x v="12"/>
    <x v="3"/>
    <x v="0"/>
    <n v="8"/>
    <n v="15000"/>
    <n v="120000"/>
    <s v="Cash"/>
  </r>
  <r>
    <x v="11"/>
    <x v="4"/>
    <x v="0"/>
    <n v="8"/>
    <n v="12000"/>
    <n v="96000"/>
    <s v="QRIS"/>
  </r>
  <r>
    <x v="61"/>
    <x v="1"/>
    <x v="0"/>
    <n v="20"/>
    <n v="12000"/>
    <n v="240000"/>
    <s v="Cash"/>
  </r>
  <r>
    <x v="62"/>
    <x v="2"/>
    <x v="0"/>
    <n v="13"/>
    <n v="15000"/>
    <n v="195000"/>
    <s v="QRIS"/>
  </r>
  <r>
    <x v="63"/>
    <x v="2"/>
    <x v="0"/>
    <n v="3"/>
    <n v="18000"/>
    <n v="54000"/>
    <s v="Transfer"/>
  </r>
  <r>
    <x v="14"/>
    <x v="2"/>
    <x v="0"/>
    <n v="11"/>
    <n v="18000"/>
    <n v="198000"/>
    <s v="Transfer"/>
  </r>
  <r>
    <x v="63"/>
    <x v="0"/>
    <x v="0"/>
    <n v="14"/>
    <n v="20000"/>
    <n v="280000"/>
    <s v="QRIS"/>
  </r>
  <r>
    <x v="0"/>
    <x v="3"/>
    <x v="0"/>
    <n v="1"/>
    <n v="20000"/>
    <n v="20000"/>
    <s v="QRIS"/>
  </r>
  <r>
    <x v="64"/>
    <x v="1"/>
    <x v="0"/>
    <n v="9"/>
    <n v="12000"/>
    <n v="108000"/>
    <s v="QRIS"/>
  </r>
  <r>
    <x v="65"/>
    <x v="4"/>
    <x v="0"/>
    <n v="3"/>
    <n v="20000"/>
    <n v="60000"/>
    <s v="Transfer"/>
  </r>
  <r>
    <x v="0"/>
    <x v="2"/>
    <x v="0"/>
    <n v="1"/>
    <n v="18000"/>
    <n v="18000"/>
    <s v="QRIS"/>
  </r>
  <r>
    <x v="40"/>
    <x v="2"/>
    <x v="0"/>
    <n v="16"/>
    <n v="18000"/>
    <n v="288000"/>
    <s v="QRIS"/>
  </r>
  <r>
    <x v="20"/>
    <x v="1"/>
    <x v="0"/>
    <n v="1"/>
    <n v="12000"/>
    <n v="12000"/>
    <s v="Cash"/>
  </r>
  <r>
    <x v="36"/>
    <x v="3"/>
    <x v="0"/>
    <n v="5"/>
    <n v="12000"/>
    <n v="60000"/>
    <s v="Cash"/>
  </r>
  <r>
    <x v="66"/>
    <x v="0"/>
    <x v="0"/>
    <n v="5"/>
    <n v="20000"/>
    <n v="100000"/>
    <s v="QRIS"/>
  </r>
  <r>
    <x v="14"/>
    <x v="3"/>
    <x v="0"/>
    <n v="16"/>
    <n v="18000"/>
    <n v="288000"/>
    <s v="E-Wallet"/>
  </r>
  <r>
    <x v="25"/>
    <x v="0"/>
    <x v="0"/>
    <n v="1"/>
    <n v="15000"/>
    <n v="15000"/>
    <s v="QRIS"/>
  </r>
  <r>
    <x v="25"/>
    <x v="0"/>
    <x v="0"/>
    <n v="17"/>
    <n v="12000"/>
    <n v="204000"/>
    <s v="QRIS"/>
  </r>
  <r>
    <x v="49"/>
    <x v="2"/>
    <x v="0"/>
    <n v="16"/>
    <n v="20000"/>
    <n v="320000"/>
    <s v="Cash"/>
  </r>
  <r>
    <x v="67"/>
    <x v="0"/>
    <x v="0"/>
    <n v="7"/>
    <n v="18000"/>
    <n v="126000"/>
    <s v="QRIS"/>
  </r>
  <r>
    <x v="31"/>
    <x v="0"/>
    <x v="0"/>
    <n v="8"/>
    <n v="18000"/>
    <n v="144000"/>
    <s v="Transfer"/>
  </r>
  <r>
    <x v="68"/>
    <x v="3"/>
    <x v="0"/>
    <n v="6"/>
    <n v="12000"/>
    <n v="72000"/>
    <s v="QRIS"/>
  </r>
  <r>
    <x v="69"/>
    <x v="2"/>
    <x v="0"/>
    <n v="6"/>
    <n v="15000"/>
    <n v="90000"/>
    <s v="E-Wallet"/>
  </r>
  <r>
    <x v="7"/>
    <x v="1"/>
    <x v="0"/>
    <n v="17"/>
    <n v="15000"/>
    <n v="255000"/>
    <s v="Cash"/>
  </r>
  <r>
    <x v="48"/>
    <x v="4"/>
    <x v="0"/>
    <n v="18"/>
    <n v="18000"/>
    <n v="324000"/>
    <s v="QRIS"/>
  </r>
  <r>
    <x v="66"/>
    <x v="2"/>
    <x v="0"/>
    <n v="17"/>
    <n v="12000"/>
    <n v="204000"/>
    <s v="Cash"/>
  </r>
  <r>
    <x v="9"/>
    <x v="4"/>
    <x v="0"/>
    <n v="12"/>
    <n v="20000"/>
    <n v="240000"/>
    <s v="Transfer"/>
  </r>
  <r>
    <x v="38"/>
    <x v="4"/>
    <x v="0"/>
    <n v="17"/>
    <n v="12000"/>
    <n v="204000"/>
    <s v="QRIS"/>
  </r>
  <r>
    <x v="37"/>
    <x v="1"/>
    <x v="0"/>
    <n v="9"/>
    <n v="12000"/>
    <n v="108000"/>
    <s v="Transfer"/>
  </r>
  <r>
    <x v="70"/>
    <x v="2"/>
    <x v="0"/>
    <n v="17"/>
    <n v="15000"/>
    <n v="255000"/>
    <s v="Transfer"/>
  </r>
  <r>
    <x v="36"/>
    <x v="1"/>
    <x v="0"/>
    <n v="16"/>
    <n v="12000"/>
    <n v="192000"/>
    <s v="QRIS"/>
  </r>
  <r>
    <x v="71"/>
    <x v="1"/>
    <x v="0"/>
    <n v="13"/>
    <n v="15000"/>
    <n v="195000"/>
    <s v="E-Wallet"/>
  </r>
  <r>
    <x v="72"/>
    <x v="0"/>
    <x v="0"/>
    <n v="13"/>
    <n v="18000"/>
    <n v="234000"/>
    <s v="QRIS"/>
  </r>
  <r>
    <x v="73"/>
    <x v="4"/>
    <x v="0"/>
    <n v="17"/>
    <n v="12000"/>
    <n v="204000"/>
    <s v="Cash"/>
  </r>
  <r>
    <x v="21"/>
    <x v="3"/>
    <x v="0"/>
    <n v="5"/>
    <n v="15000"/>
    <n v="75000"/>
    <s v="Transfer"/>
  </r>
  <r>
    <x v="74"/>
    <x v="0"/>
    <x v="0"/>
    <n v="16"/>
    <n v="12000"/>
    <n v="192000"/>
    <s v="Cash"/>
  </r>
  <r>
    <x v="39"/>
    <x v="1"/>
    <x v="0"/>
    <n v="7"/>
    <n v="18000"/>
    <n v="126000"/>
    <s v="E-Wallet"/>
  </r>
  <r>
    <x v="25"/>
    <x v="4"/>
    <x v="0"/>
    <n v="14"/>
    <n v="15000"/>
    <n v="210000"/>
    <s v="Transfer"/>
  </r>
  <r>
    <x v="75"/>
    <x v="4"/>
    <x v="0"/>
    <n v="19"/>
    <n v="12000"/>
    <n v="228000"/>
    <s v="Transfer"/>
  </r>
  <r>
    <x v="56"/>
    <x v="3"/>
    <x v="0"/>
    <n v="15"/>
    <n v="20000"/>
    <n v="300000"/>
    <s v="QRIS"/>
  </r>
  <r>
    <x v="76"/>
    <x v="4"/>
    <x v="0"/>
    <n v="5"/>
    <n v="12000"/>
    <n v="60000"/>
    <s v="Transfer"/>
  </r>
  <r>
    <x v="19"/>
    <x v="4"/>
    <x v="0"/>
    <n v="18"/>
    <n v="15000"/>
    <n v="270000"/>
    <s v="Cash"/>
  </r>
  <r>
    <x v="29"/>
    <x v="2"/>
    <x v="0"/>
    <n v="7"/>
    <n v="15000"/>
    <n v="105000"/>
    <s v="Transfer"/>
  </r>
  <r>
    <x v="7"/>
    <x v="0"/>
    <x v="0"/>
    <n v="15"/>
    <n v="12000"/>
    <n v="180000"/>
    <s v="QRIS"/>
  </r>
  <r>
    <x v="30"/>
    <x v="4"/>
    <x v="0"/>
    <n v="16"/>
    <n v="15000"/>
    <n v="240000"/>
    <s v="QRIS"/>
  </r>
  <r>
    <x v="64"/>
    <x v="2"/>
    <x v="0"/>
    <n v="7"/>
    <n v="20000"/>
    <n v="140000"/>
    <s v="E-Wallet"/>
  </r>
  <r>
    <x v="77"/>
    <x v="0"/>
    <x v="0"/>
    <n v="17"/>
    <n v="20000"/>
    <n v="340000"/>
    <s v="QRIS"/>
  </r>
  <r>
    <x v="78"/>
    <x v="3"/>
    <x v="0"/>
    <n v="9"/>
    <n v="18000"/>
    <n v="162000"/>
    <s v="Transfer"/>
  </r>
  <r>
    <x v="61"/>
    <x v="2"/>
    <x v="0"/>
    <n v="9"/>
    <n v="15000"/>
    <n v="135000"/>
    <s v="QRIS"/>
  </r>
  <r>
    <x v="55"/>
    <x v="1"/>
    <x v="0"/>
    <n v="2"/>
    <n v="12000"/>
    <n v="24000"/>
    <s v="E-Wallet"/>
  </r>
  <r>
    <x v="8"/>
    <x v="2"/>
    <x v="0"/>
    <n v="2"/>
    <n v="12000"/>
    <n v="24000"/>
    <s v="QRIS"/>
  </r>
  <r>
    <x v="65"/>
    <x v="2"/>
    <x v="0"/>
    <n v="10"/>
    <n v="15000"/>
    <n v="150000"/>
    <s v="Cash"/>
  </r>
  <r>
    <x v="7"/>
    <x v="1"/>
    <x v="0"/>
    <n v="2"/>
    <n v="15000"/>
    <n v="30000"/>
    <s v="Transfer"/>
  </r>
  <r>
    <x v="52"/>
    <x v="0"/>
    <x v="0"/>
    <n v="7"/>
    <n v="12000"/>
    <n v="84000"/>
    <s v="E-Wallet"/>
  </r>
  <r>
    <x v="60"/>
    <x v="1"/>
    <x v="0"/>
    <n v="1"/>
    <n v="12000"/>
    <n v="12000"/>
    <s v="QRIS"/>
  </r>
  <r>
    <x v="11"/>
    <x v="2"/>
    <x v="0"/>
    <n v="12"/>
    <n v="20000"/>
    <n v="240000"/>
    <s v="Transfer"/>
  </r>
  <r>
    <x v="29"/>
    <x v="4"/>
    <x v="0"/>
    <n v="16"/>
    <n v="12000"/>
    <n v="192000"/>
    <s v="Transfer"/>
  </r>
  <r>
    <x v="28"/>
    <x v="0"/>
    <x v="0"/>
    <n v="9"/>
    <n v="20000"/>
    <n v="180000"/>
    <s v="Transfer"/>
  </r>
  <r>
    <x v="15"/>
    <x v="3"/>
    <x v="0"/>
    <n v="14"/>
    <n v="12000"/>
    <n v="168000"/>
    <s v="E-Wallet"/>
  </r>
  <r>
    <x v="79"/>
    <x v="4"/>
    <x v="0"/>
    <n v="10"/>
    <n v="15000"/>
    <n v="150000"/>
    <s v="Transfer"/>
  </r>
  <r>
    <x v="80"/>
    <x v="1"/>
    <x v="0"/>
    <n v="19"/>
    <n v="18000"/>
    <n v="342000"/>
    <s v="QRIS"/>
  </r>
  <r>
    <x v="21"/>
    <x v="0"/>
    <x v="0"/>
    <n v="1"/>
    <n v="15000"/>
    <n v="15000"/>
    <s v="Transfer"/>
  </r>
  <r>
    <x v="37"/>
    <x v="1"/>
    <x v="0"/>
    <n v="10"/>
    <n v="15000"/>
    <n v="150000"/>
    <s v="Transfer"/>
  </r>
  <r>
    <x v="54"/>
    <x v="3"/>
    <x v="0"/>
    <n v="20"/>
    <n v="15000"/>
    <n v="300000"/>
    <s v="Cash"/>
  </r>
  <r>
    <x v="73"/>
    <x v="1"/>
    <x v="0"/>
    <n v="8"/>
    <n v="18000"/>
    <n v="144000"/>
    <s v="Transfer"/>
  </r>
  <r>
    <x v="28"/>
    <x v="4"/>
    <x v="0"/>
    <n v="14"/>
    <n v="18000"/>
    <n v="252000"/>
    <s v="Transfer"/>
  </r>
  <r>
    <x v="35"/>
    <x v="3"/>
    <x v="0"/>
    <n v="9"/>
    <n v="12000"/>
    <n v="108000"/>
    <s v="E-Wallet"/>
  </r>
  <r>
    <x v="13"/>
    <x v="2"/>
    <x v="0"/>
    <n v="6"/>
    <n v="15000"/>
    <n v="90000"/>
    <s v="Cash"/>
  </r>
  <r>
    <x v="75"/>
    <x v="3"/>
    <x v="0"/>
    <n v="13"/>
    <n v="15000"/>
    <n v="195000"/>
    <s v="Cash"/>
  </r>
  <r>
    <x v="16"/>
    <x v="3"/>
    <x v="0"/>
    <n v="6"/>
    <n v="12000"/>
    <n v="72000"/>
    <s v="Cash"/>
  </r>
  <r>
    <x v="81"/>
    <x v="1"/>
    <x v="0"/>
    <n v="7"/>
    <n v="18000"/>
    <n v="126000"/>
    <s v="Cash"/>
  </r>
  <r>
    <x v="58"/>
    <x v="3"/>
    <x v="0"/>
    <n v="1"/>
    <n v="12000"/>
    <n v="12000"/>
    <s v="QRIS"/>
  </r>
  <r>
    <x v="31"/>
    <x v="3"/>
    <x v="0"/>
    <n v="15"/>
    <n v="20000"/>
    <n v="300000"/>
    <s v="Cash"/>
  </r>
  <r>
    <x v="23"/>
    <x v="0"/>
    <x v="0"/>
    <n v="18"/>
    <n v="12000"/>
    <n v="216000"/>
    <s v="Transfer"/>
  </r>
  <r>
    <x v="34"/>
    <x v="4"/>
    <x v="0"/>
    <n v="2"/>
    <n v="12000"/>
    <n v="24000"/>
    <s v="Transfer"/>
  </r>
  <r>
    <x v="18"/>
    <x v="2"/>
    <x v="0"/>
    <n v="5"/>
    <n v="15000"/>
    <n v="75000"/>
    <s v="Transfer"/>
  </r>
  <r>
    <x v="48"/>
    <x v="4"/>
    <x v="0"/>
    <n v="1"/>
    <n v="15000"/>
    <n v="15000"/>
    <s v="Transfer"/>
  </r>
  <r>
    <x v="57"/>
    <x v="1"/>
    <x v="0"/>
    <n v="3"/>
    <n v="18000"/>
    <n v="54000"/>
    <s v="QRIS"/>
  </r>
  <r>
    <x v="2"/>
    <x v="3"/>
    <x v="0"/>
    <n v="1"/>
    <n v="20000"/>
    <n v="20000"/>
    <s v="QRIS"/>
  </r>
  <r>
    <x v="20"/>
    <x v="1"/>
    <x v="0"/>
    <n v="10"/>
    <n v="12000"/>
    <n v="120000"/>
    <s v="Cash"/>
  </r>
  <r>
    <x v="82"/>
    <x v="1"/>
    <x v="0"/>
    <n v="1"/>
    <n v="12000"/>
    <n v="12000"/>
    <s v="Transfer"/>
  </r>
  <r>
    <x v="9"/>
    <x v="4"/>
    <x v="0"/>
    <n v="1"/>
    <n v="18000"/>
    <n v="18000"/>
    <s v="Cash"/>
  </r>
  <r>
    <x v="40"/>
    <x v="1"/>
    <x v="0"/>
    <n v="4"/>
    <n v="20000"/>
    <n v="80000"/>
    <s v="Transfer"/>
  </r>
  <r>
    <x v="80"/>
    <x v="4"/>
    <x v="0"/>
    <n v="9"/>
    <n v="20000"/>
    <n v="180000"/>
    <s v="QRIS"/>
  </r>
  <r>
    <x v="4"/>
    <x v="2"/>
    <x v="0"/>
    <n v="4"/>
    <n v="20000"/>
    <n v="80000"/>
    <s v="Transfer"/>
  </r>
  <r>
    <x v="34"/>
    <x v="3"/>
    <x v="0"/>
    <n v="11"/>
    <n v="20000"/>
    <n v="220000"/>
    <s v="QRIS"/>
  </r>
  <r>
    <x v="46"/>
    <x v="0"/>
    <x v="0"/>
    <n v="20"/>
    <n v="15000"/>
    <n v="300000"/>
    <s v="Transfer"/>
  </r>
  <r>
    <x v="2"/>
    <x v="1"/>
    <x v="0"/>
    <n v="11"/>
    <n v="20000"/>
    <n v="220000"/>
    <s v="E-Wallet"/>
  </r>
  <r>
    <x v="20"/>
    <x v="1"/>
    <x v="0"/>
    <n v="8"/>
    <n v="18000"/>
    <n v="144000"/>
    <s v="E-Wallet"/>
  </r>
  <r>
    <x v="56"/>
    <x v="4"/>
    <x v="0"/>
    <n v="9"/>
    <n v="15000"/>
    <n v="135000"/>
    <s v="Transfer"/>
  </r>
  <r>
    <x v="43"/>
    <x v="2"/>
    <x v="0"/>
    <n v="20"/>
    <n v="18000"/>
    <n v="360000"/>
    <s v="QRIS"/>
  </r>
  <r>
    <x v="66"/>
    <x v="0"/>
    <x v="0"/>
    <n v="4"/>
    <n v="18000"/>
    <n v="72000"/>
    <s v="Transfer"/>
  </r>
  <r>
    <x v="58"/>
    <x v="4"/>
    <x v="0"/>
    <n v="11"/>
    <n v="18000"/>
    <n v="198000"/>
    <s v="QRIS"/>
  </r>
  <r>
    <x v="40"/>
    <x v="0"/>
    <x v="0"/>
    <n v="15"/>
    <n v="15000"/>
    <n v="225000"/>
    <s v="QRIS"/>
  </r>
  <r>
    <x v="68"/>
    <x v="1"/>
    <x v="0"/>
    <n v="14"/>
    <n v="15000"/>
    <n v="210000"/>
    <s v="E-Wallet"/>
  </r>
  <r>
    <x v="28"/>
    <x v="1"/>
    <x v="0"/>
    <n v="5"/>
    <n v="18000"/>
    <n v="90000"/>
    <s v="QRIS"/>
  </r>
  <r>
    <x v="49"/>
    <x v="1"/>
    <x v="0"/>
    <n v="16"/>
    <n v="15000"/>
    <n v="240000"/>
    <s v="E-Wallet"/>
  </r>
  <r>
    <x v="43"/>
    <x v="4"/>
    <x v="0"/>
    <n v="6"/>
    <n v="12000"/>
    <n v="72000"/>
    <s v="Transfer"/>
  </r>
  <r>
    <x v="4"/>
    <x v="2"/>
    <x v="0"/>
    <n v="16"/>
    <n v="12000"/>
    <n v="192000"/>
    <s v="E-Wallet"/>
  </r>
  <r>
    <x v="38"/>
    <x v="3"/>
    <x v="0"/>
    <n v="11"/>
    <n v="12000"/>
    <n v="132000"/>
    <s v="Cash"/>
  </r>
  <r>
    <x v="58"/>
    <x v="0"/>
    <x v="0"/>
    <n v="14"/>
    <n v="20000"/>
    <n v="280000"/>
    <s v="E-Wallet"/>
  </r>
  <r>
    <x v="82"/>
    <x v="2"/>
    <x v="0"/>
    <n v="11"/>
    <n v="18000"/>
    <n v="198000"/>
    <s v="Transfer"/>
  </r>
  <r>
    <x v="36"/>
    <x v="4"/>
    <x v="0"/>
    <n v="20"/>
    <n v="20000"/>
    <n v="400000"/>
    <s v="Transfer"/>
  </r>
  <r>
    <x v="52"/>
    <x v="0"/>
    <x v="0"/>
    <n v="11"/>
    <n v="12000"/>
    <n v="132000"/>
    <s v="Transfer"/>
  </r>
  <r>
    <x v="60"/>
    <x v="3"/>
    <x v="0"/>
    <n v="6"/>
    <n v="18000"/>
    <n v="108000"/>
    <s v="Cash"/>
  </r>
  <r>
    <x v="54"/>
    <x v="2"/>
    <x v="0"/>
    <n v="15"/>
    <n v="15000"/>
    <n v="225000"/>
    <s v="Transfer"/>
  </r>
  <r>
    <x v="61"/>
    <x v="0"/>
    <x v="0"/>
    <n v="12"/>
    <n v="20000"/>
    <n v="240000"/>
    <s v="Transfer"/>
  </r>
  <r>
    <x v="10"/>
    <x v="4"/>
    <x v="0"/>
    <n v="17"/>
    <n v="15000"/>
    <n v="255000"/>
    <s v="Cash"/>
  </r>
  <r>
    <x v="83"/>
    <x v="2"/>
    <x v="0"/>
    <n v="8"/>
    <n v="20000"/>
    <n v="160000"/>
    <s v="QRIS"/>
  </r>
  <r>
    <x v="32"/>
    <x v="3"/>
    <x v="0"/>
    <n v="13"/>
    <n v="18000"/>
    <n v="234000"/>
    <s v="Transfer"/>
  </r>
  <r>
    <x v="49"/>
    <x v="0"/>
    <x v="0"/>
    <n v="8"/>
    <n v="15000"/>
    <n v="120000"/>
    <s v="Transfer"/>
  </r>
  <r>
    <x v="16"/>
    <x v="0"/>
    <x v="0"/>
    <n v="15"/>
    <n v="12000"/>
    <n v="180000"/>
    <s v="Cash"/>
  </r>
  <r>
    <x v="13"/>
    <x v="3"/>
    <x v="0"/>
    <n v="1"/>
    <n v="18000"/>
    <n v="18000"/>
    <s v="E-Wallet"/>
  </r>
  <r>
    <x v="62"/>
    <x v="4"/>
    <x v="0"/>
    <n v="1"/>
    <n v="15000"/>
    <n v="15000"/>
    <s v="QRIS"/>
  </r>
  <r>
    <x v="20"/>
    <x v="2"/>
    <x v="0"/>
    <n v="2"/>
    <n v="18000"/>
    <n v="36000"/>
    <s v="QRIS"/>
  </r>
  <r>
    <x v="8"/>
    <x v="2"/>
    <x v="0"/>
    <n v="12"/>
    <n v="12000"/>
    <n v="144000"/>
    <s v="Transfer"/>
  </r>
  <r>
    <x v="82"/>
    <x v="0"/>
    <x v="0"/>
    <n v="15"/>
    <n v="12000"/>
    <n v="180000"/>
    <s v="QRIS"/>
  </r>
  <r>
    <x v="29"/>
    <x v="0"/>
    <x v="0"/>
    <n v="6"/>
    <n v="15000"/>
    <n v="90000"/>
    <s v="Transfer"/>
  </r>
  <r>
    <x v="67"/>
    <x v="2"/>
    <x v="0"/>
    <n v="18"/>
    <n v="18000"/>
    <n v="324000"/>
    <s v="E-Wallet"/>
  </r>
  <r>
    <x v="84"/>
    <x v="1"/>
    <x v="0"/>
    <n v="4"/>
    <n v="18000"/>
    <n v="72000"/>
    <s v="Transfer"/>
  </r>
  <r>
    <x v="60"/>
    <x v="3"/>
    <x v="0"/>
    <n v="6"/>
    <n v="18000"/>
    <n v="108000"/>
    <s v="Cash"/>
  </r>
  <r>
    <x v="85"/>
    <x v="4"/>
    <x v="0"/>
    <n v="1"/>
    <n v="15000"/>
    <n v="15000"/>
    <s v="Cash"/>
  </r>
  <r>
    <x v="52"/>
    <x v="0"/>
    <x v="0"/>
    <n v="6"/>
    <n v="20000"/>
    <n v="120000"/>
    <s v="E-Wallet"/>
  </r>
  <r>
    <x v="4"/>
    <x v="4"/>
    <x v="0"/>
    <n v="17"/>
    <n v="18000"/>
    <n v="306000"/>
    <s v="Transfer"/>
  </r>
  <r>
    <x v="35"/>
    <x v="4"/>
    <x v="0"/>
    <n v="11"/>
    <n v="12000"/>
    <n v="132000"/>
    <s v="E-Wallet"/>
  </r>
  <r>
    <x v="31"/>
    <x v="2"/>
    <x v="0"/>
    <n v="19"/>
    <n v="20000"/>
    <n v="380000"/>
    <s v="E-Wallet"/>
  </r>
  <r>
    <x v="17"/>
    <x v="1"/>
    <x v="0"/>
    <n v="1"/>
    <n v="20000"/>
    <n v="20000"/>
    <s v="QRIS"/>
  </r>
  <r>
    <x v="86"/>
    <x v="2"/>
    <x v="0"/>
    <n v="20"/>
    <n v="18000"/>
    <n v="360000"/>
    <s v="QRIS"/>
  </r>
  <r>
    <x v="73"/>
    <x v="2"/>
    <x v="0"/>
    <n v="13"/>
    <n v="20000"/>
    <n v="260000"/>
    <s v="QRIS"/>
  </r>
  <r>
    <x v="64"/>
    <x v="3"/>
    <x v="0"/>
    <n v="11"/>
    <n v="20000"/>
    <n v="220000"/>
    <s v="Cash"/>
  </r>
  <r>
    <x v="54"/>
    <x v="1"/>
    <x v="0"/>
    <n v="12"/>
    <n v="15000"/>
    <n v="180000"/>
    <s v="QRIS"/>
  </r>
  <r>
    <x v="87"/>
    <x v="4"/>
    <x v="0"/>
    <n v="6"/>
    <n v="18000"/>
    <n v="108000"/>
    <s v="Cash"/>
  </r>
  <r>
    <x v="74"/>
    <x v="2"/>
    <x v="0"/>
    <n v="9"/>
    <n v="20000"/>
    <n v="180000"/>
    <s v="QRIS"/>
  </r>
  <r>
    <x v="5"/>
    <x v="3"/>
    <x v="0"/>
    <n v="5"/>
    <n v="12000"/>
    <n v="60000"/>
    <s v="Cash"/>
  </r>
  <r>
    <x v="10"/>
    <x v="0"/>
    <x v="0"/>
    <n v="5"/>
    <n v="12000"/>
    <n v="60000"/>
    <s v="E-Wallet"/>
  </r>
  <r>
    <x v="55"/>
    <x v="1"/>
    <x v="0"/>
    <n v="6"/>
    <n v="20000"/>
    <n v="120000"/>
    <s v="Transfer"/>
  </r>
  <r>
    <x v="5"/>
    <x v="4"/>
    <x v="0"/>
    <n v="18"/>
    <n v="20000"/>
    <n v="360000"/>
    <s v="E-Wallet"/>
  </r>
  <r>
    <x v="4"/>
    <x v="4"/>
    <x v="0"/>
    <n v="20"/>
    <n v="12000"/>
    <n v="240000"/>
    <s v="Cash"/>
  </r>
  <r>
    <x v="43"/>
    <x v="3"/>
    <x v="0"/>
    <n v="7"/>
    <n v="20000"/>
    <n v="140000"/>
    <s v="Cash"/>
  </r>
  <r>
    <x v="51"/>
    <x v="1"/>
    <x v="0"/>
    <n v="12"/>
    <n v="12000"/>
    <n v="144000"/>
    <s v="Transfer"/>
  </r>
  <r>
    <x v="61"/>
    <x v="0"/>
    <x v="0"/>
    <n v="13"/>
    <n v="20000"/>
    <n v="260000"/>
    <s v="QRIS"/>
  </r>
  <r>
    <x v="56"/>
    <x v="3"/>
    <x v="0"/>
    <n v="13"/>
    <n v="18000"/>
    <n v="234000"/>
    <s v="Transfer"/>
  </r>
  <r>
    <x v="79"/>
    <x v="0"/>
    <x v="0"/>
    <n v="12"/>
    <n v="15000"/>
    <n v="180000"/>
    <s v="Cash"/>
  </r>
  <r>
    <x v="59"/>
    <x v="4"/>
    <x v="0"/>
    <n v="9"/>
    <n v="20000"/>
    <n v="180000"/>
    <s v="E-Wallet"/>
  </r>
  <r>
    <x v="29"/>
    <x v="2"/>
    <x v="0"/>
    <n v="4"/>
    <n v="15000"/>
    <n v="60000"/>
    <s v="QRIS"/>
  </r>
  <r>
    <x v="4"/>
    <x v="3"/>
    <x v="0"/>
    <n v="5"/>
    <n v="20000"/>
    <n v="100000"/>
    <s v="Transfer"/>
  </r>
  <r>
    <x v="74"/>
    <x v="0"/>
    <x v="0"/>
    <n v="6"/>
    <n v="12000"/>
    <n v="72000"/>
    <s v="Cash"/>
  </r>
  <r>
    <x v="46"/>
    <x v="1"/>
    <x v="0"/>
    <n v="12"/>
    <n v="18000"/>
    <n v="216000"/>
    <s v="Transfer"/>
  </r>
  <r>
    <x v="39"/>
    <x v="2"/>
    <x v="0"/>
    <n v="1"/>
    <n v="18000"/>
    <n v="18000"/>
    <s v="E-Wallet"/>
  </r>
  <r>
    <x v="88"/>
    <x v="1"/>
    <x v="0"/>
    <n v="13"/>
    <n v="15000"/>
    <n v="195000"/>
    <s v="Cash"/>
  </r>
  <r>
    <x v="64"/>
    <x v="1"/>
    <x v="0"/>
    <n v="2"/>
    <n v="18000"/>
    <n v="36000"/>
    <s v="Transfer"/>
  </r>
  <r>
    <x v="32"/>
    <x v="4"/>
    <x v="0"/>
    <n v="2"/>
    <n v="15000"/>
    <n v="30000"/>
    <s v="E-Wallet"/>
  </r>
  <r>
    <x v="45"/>
    <x v="4"/>
    <x v="0"/>
    <n v="8"/>
    <n v="20000"/>
    <n v="160000"/>
    <s v="Cash"/>
  </r>
  <r>
    <x v="61"/>
    <x v="3"/>
    <x v="0"/>
    <n v="8"/>
    <n v="12000"/>
    <n v="96000"/>
    <s v="QRIS"/>
  </r>
  <r>
    <x v="60"/>
    <x v="2"/>
    <x v="0"/>
    <n v="3"/>
    <n v="20000"/>
    <n v="60000"/>
    <s v="QRIS"/>
  </r>
  <r>
    <x v="89"/>
    <x v="0"/>
    <x v="0"/>
    <n v="3"/>
    <n v="15000"/>
    <n v="45000"/>
    <s v="Transfer"/>
  </r>
  <r>
    <x v="12"/>
    <x v="2"/>
    <x v="0"/>
    <n v="20"/>
    <n v="12000"/>
    <n v="240000"/>
    <s v="E-Wallet"/>
  </r>
  <r>
    <x v="84"/>
    <x v="0"/>
    <x v="0"/>
    <n v="1"/>
    <n v="18000"/>
    <n v="18000"/>
    <s v="E-Wallet"/>
  </r>
  <r>
    <x v="19"/>
    <x v="1"/>
    <x v="0"/>
    <n v="4"/>
    <n v="12000"/>
    <n v="48000"/>
    <s v="Cash"/>
  </r>
  <r>
    <x v="0"/>
    <x v="1"/>
    <x v="0"/>
    <n v="16"/>
    <n v="15000"/>
    <n v="240000"/>
    <s v="E-Wallet"/>
  </r>
  <r>
    <x v="16"/>
    <x v="3"/>
    <x v="0"/>
    <n v="15"/>
    <n v="12000"/>
    <n v="180000"/>
    <s v="E-Wallet"/>
  </r>
  <r>
    <x v="68"/>
    <x v="2"/>
    <x v="0"/>
    <n v="20"/>
    <n v="18000"/>
    <n v="360000"/>
    <s v="E-Wallet"/>
  </r>
  <r>
    <x v="81"/>
    <x v="2"/>
    <x v="0"/>
    <n v="12"/>
    <n v="18000"/>
    <n v="216000"/>
    <s v="Cash"/>
  </r>
  <r>
    <x v="19"/>
    <x v="1"/>
    <x v="0"/>
    <n v="18"/>
    <n v="15000"/>
    <n v="270000"/>
    <s v="E-Wallet"/>
  </r>
  <r>
    <x v="30"/>
    <x v="4"/>
    <x v="0"/>
    <n v="10"/>
    <n v="18000"/>
    <n v="180000"/>
    <s v="Cash"/>
  </r>
  <r>
    <x v="65"/>
    <x v="0"/>
    <x v="0"/>
    <n v="6"/>
    <n v="15000"/>
    <n v="90000"/>
    <s v="E-Wallet"/>
  </r>
  <r>
    <x v="77"/>
    <x v="3"/>
    <x v="0"/>
    <n v="19"/>
    <n v="15000"/>
    <n v="285000"/>
    <s v="Cash"/>
  </r>
  <r>
    <x v="43"/>
    <x v="3"/>
    <x v="0"/>
    <n v="2"/>
    <n v="12000"/>
    <n v="24000"/>
    <s v="QRIS"/>
  </r>
  <r>
    <x v="7"/>
    <x v="2"/>
    <x v="0"/>
    <n v="15"/>
    <n v="12000"/>
    <n v="180000"/>
    <s v="QRIS"/>
  </r>
  <r>
    <x v="38"/>
    <x v="3"/>
    <x v="0"/>
    <n v="20"/>
    <n v="15000"/>
    <n v="300000"/>
    <s v="Transfer"/>
  </r>
  <r>
    <x v="43"/>
    <x v="0"/>
    <x v="0"/>
    <n v="2"/>
    <n v="20000"/>
    <n v="40000"/>
    <s v="QRIS"/>
  </r>
  <r>
    <x v="11"/>
    <x v="4"/>
    <x v="0"/>
    <n v="14"/>
    <n v="18000"/>
    <n v="252000"/>
    <s v="QRIS"/>
  </r>
  <r>
    <x v="31"/>
    <x v="3"/>
    <x v="0"/>
    <n v="10"/>
    <n v="12000"/>
    <n v="120000"/>
    <s v="E-Wallet"/>
  </r>
  <r>
    <x v="31"/>
    <x v="0"/>
    <x v="0"/>
    <n v="18"/>
    <n v="18000"/>
    <n v="324000"/>
    <s v="Cash"/>
  </r>
  <r>
    <x v="6"/>
    <x v="4"/>
    <x v="0"/>
    <n v="11"/>
    <n v="12000"/>
    <n v="132000"/>
    <s v="Cash"/>
  </r>
  <r>
    <x v="61"/>
    <x v="3"/>
    <x v="0"/>
    <n v="2"/>
    <n v="18000"/>
    <n v="36000"/>
    <s v="QRIS"/>
  </r>
  <r>
    <x v="39"/>
    <x v="3"/>
    <x v="0"/>
    <n v="3"/>
    <n v="18000"/>
    <n v="54000"/>
    <s v="Cash"/>
  </r>
  <r>
    <x v="12"/>
    <x v="1"/>
    <x v="0"/>
    <n v="11"/>
    <n v="18000"/>
    <n v="198000"/>
    <s v="E-Wallet"/>
  </r>
  <r>
    <x v="61"/>
    <x v="0"/>
    <x v="0"/>
    <n v="6"/>
    <n v="15000"/>
    <n v="90000"/>
    <s v="QRIS"/>
  </r>
  <r>
    <x v="2"/>
    <x v="4"/>
    <x v="0"/>
    <n v="14"/>
    <n v="20000"/>
    <n v="280000"/>
    <s v="QRIS"/>
  </r>
  <r>
    <x v="10"/>
    <x v="1"/>
    <x v="0"/>
    <n v="15"/>
    <n v="15000"/>
    <n v="225000"/>
    <s v="Cash"/>
  </r>
  <r>
    <x v="17"/>
    <x v="2"/>
    <x v="0"/>
    <n v="10"/>
    <n v="15000"/>
    <n v="150000"/>
    <s v="Cash"/>
  </r>
  <r>
    <x v="43"/>
    <x v="4"/>
    <x v="0"/>
    <n v="17"/>
    <n v="12000"/>
    <n v="204000"/>
    <s v="Cash"/>
  </r>
  <r>
    <x v="31"/>
    <x v="3"/>
    <x v="0"/>
    <n v="13"/>
    <n v="12000"/>
    <n v="156000"/>
    <s v="E-Wallet"/>
  </r>
  <r>
    <x v="15"/>
    <x v="3"/>
    <x v="0"/>
    <n v="15"/>
    <n v="15000"/>
    <n v="225000"/>
    <s v="Cash"/>
  </r>
  <r>
    <x v="23"/>
    <x v="2"/>
    <x v="0"/>
    <n v="2"/>
    <n v="18000"/>
    <n v="36000"/>
    <s v="E-Wallet"/>
  </r>
  <r>
    <x v="0"/>
    <x v="1"/>
    <x v="0"/>
    <n v="15"/>
    <n v="15000"/>
    <n v="225000"/>
    <s v="Transfer"/>
  </r>
  <r>
    <x v="12"/>
    <x v="4"/>
    <x v="0"/>
    <n v="9"/>
    <n v="12000"/>
    <n v="108000"/>
    <s v="Transfer"/>
  </r>
  <r>
    <x v="20"/>
    <x v="4"/>
    <x v="0"/>
    <n v="5"/>
    <n v="18000"/>
    <n v="90000"/>
    <s v="QRIS"/>
  </r>
  <r>
    <x v="28"/>
    <x v="0"/>
    <x v="0"/>
    <n v="2"/>
    <n v="20000"/>
    <n v="40000"/>
    <s v="E-Wallet"/>
  </r>
  <r>
    <x v="60"/>
    <x v="4"/>
    <x v="0"/>
    <n v="10"/>
    <n v="15000"/>
    <n v="150000"/>
    <s v="QRIS"/>
  </r>
  <r>
    <x v="84"/>
    <x v="3"/>
    <x v="0"/>
    <n v="8"/>
    <n v="15000"/>
    <n v="120000"/>
    <s v="E-Wallet"/>
  </r>
  <r>
    <x v="22"/>
    <x v="4"/>
    <x v="0"/>
    <n v="3"/>
    <n v="15000"/>
    <n v="45000"/>
    <s v="Cash"/>
  </r>
  <r>
    <x v="28"/>
    <x v="4"/>
    <x v="0"/>
    <n v="9"/>
    <n v="12000"/>
    <n v="108000"/>
    <s v="QRIS"/>
  </r>
  <r>
    <x v="11"/>
    <x v="2"/>
    <x v="0"/>
    <n v="9"/>
    <n v="12000"/>
    <n v="108000"/>
    <s v="QRIS"/>
  </r>
  <r>
    <x v="39"/>
    <x v="1"/>
    <x v="0"/>
    <n v="6"/>
    <n v="12000"/>
    <n v="72000"/>
    <s v="E-Wallet"/>
  </r>
  <r>
    <x v="81"/>
    <x v="4"/>
    <x v="0"/>
    <n v="16"/>
    <n v="12000"/>
    <n v="192000"/>
    <s v="Cash"/>
  </r>
  <r>
    <x v="76"/>
    <x v="4"/>
    <x v="0"/>
    <n v="13"/>
    <n v="12000"/>
    <n v="156000"/>
    <s v="Transfer"/>
  </r>
  <r>
    <x v="80"/>
    <x v="2"/>
    <x v="0"/>
    <n v="5"/>
    <n v="18000"/>
    <n v="90000"/>
    <s v="QRIS"/>
  </r>
  <r>
    <x v="1"/>
    <x v="4"/>
    <x v="0"/>
    <n v="12"/>
    <n v="12000"/>
    <n v="144000"/>
    <s v="E-Wallet"/>
  </r>
  <r>
    <x v="88"/>
    <x v="2"/>
    <x v="0"/>
    <n v="14"/>
    <n v="18000"/>
    <n v="252000"/>
    <s v="Cash"/>
  </r>
  <r>
    <x v="28"/>
    <x v="0"/>
    <x v="0"/>
    <n v="12"/>
    <n v="12000"/>
    <n v="144000"/>
    <s v="Cash"/>
  </r>
  <r>
    <x v="42"/>
    <x v="2"/>
    <x v="0"/>
    <n v="15"/>
    <n v="12000"/>
    <n v="180000"/>
    <s v="E-Wallet"/>
  </r>
  <r>
    <x v="30"/>
    <x v="0"/>
    <x v="0"/>
    <n v="11"/>
    <n v="18000"/>
    <n v="198000"/>
    <s v="E-Wallet"/>
  </r>
  <r>
    <x v="14"/>
    <x v="2"/>
    <x v="0"/>
    <n v="3"/>
    <n v="15000"/>
    <n v="45000"/>
    <s v="E-Wallet"/>
  </r>
  <r>
    <x v="50"/>
    <x v="2"/>
    <x v="0"/>
    <n v="8"/>
    <n v="15000"/>
    <n v="120000"/>
    <s v="QRIS"/>
  </r>
  <r>
    <x v="67"/>
    <x v="3"/>
    <x v="0"/>
    <n v="7"/>
    <n v="15000"/>
    <n v="105000"/>
    <s v="Transfer"/>
  </r>
  <r>
    <x v="42"/>
    <x v="3"/>
    <x v="0"/>
    <n v="11"/>
    <n v="20000"/>
    <n v="220000"/>
    <s v="Transfer"/>
  </r>
  <r>
    <x v="67"/>
    <x v="4"/>
    <x v="0"/>
    <n v="12"/>
    <n v="15000"/>
    <n v="180000"/>
    <s v="Cash"/>
  </r>
  <r>
    <x v="71"/>
    <x v="0"/>
    <x v="0"/>
    <n v="9"/>
    <n v="12000"/>
    <n v="108000"/>
    <s v="Cash"/>
  </r>
  <r>
    <x v="19"/>
    <x v="3"/>
    <x v="0"/>
    <n v="15"/>
    <n v="20000"/>
    <n v="300000"/>
    <s v="E-Wallet"/>
  </r>
  <r>
    <x v="83"/>
    <x v="1"/>
    <x v="0"/>
    <n v="6"/>
    <n v="18000"/>
    <n v="108000"/>
    <s v="Transfer"/>
  </r>
  <r>
    <x v="19"/>
    <x v="1"/>
    <x v="0"/>
    <n v="4"/>
    <n v="12000"/>
    <n v="48000"/>
    <s v="Cash"/>
  </r>
  <r>
    <x v="50"/>
    <x v="2"/>
    <x v="0"/>
    <n v="2"/>
    <n v="12000"/>
    <n v="24000"/>
    <s v="Cash"/>
  </r>
  <r>
    <x v="88"/>
    <x v="4"/>
    <x v="0"/>
    <n v="20"/>
    <n v="18000"/>
    <n v="360000"/>
    <s v="Transfer"/>
  </r>
  <r>
    <x v="3"/>
    <x v="4"/>
    <x v="0"/>
    <n v="9"/>
    <n v="18000"/>
    <n v="162000"/>
    <s v="E-Wallet"/>
  </r>
  <r>
    <x v="49"/>
    <x v="2"/>
    <x v="0"/>
    <n v="11"/>
    <n v="15000"/>
    <n v="165000"/>
    <s v="QRIS"/>
  </r>
  <r>
    <x v="33"/>
    <x v="1"/>
    <x v="0"/>
    <n v="16"/>
    <n v="15000"/>
    <n v="240000"/>
    <s v="QRIS"/>
  </r>
  <r>
    <x v="54"/>
    <x v="2"/>
    <x v="0"/>
    <n v="7"/>
    <n v="15000"/>
    <n v="105000"/>
    <s v="Cash"/>
  </r>
  <r>
    <x v="43"/>
    <x v="0"/>
    <x v="0"/>
    <n v="19"/>
    <n v="12000"/>
    <n v="228000"/>
    <s v="QRIS"/>
  </r>
  <r>
    <x v="39"/>
    <x v="4"/>
    <x v="0"/>
    <n v="5"/>
    <n v="15000"/>
    <n v="75000"/>
    <s v="Transfer"/>
  </r>
  <r>
    <x v="39"/>
    <x v="2"/>
    <x v="0"/>
    <n v="3"/>
    <n v="18000"/>
    <n v="54000"/>
    <s v="Cash"/>
  </r>
  <r>
    <x v="0"/>
    <x v="2"/>
    <x v="0"/>
    <n v="15"/>
    <n v="15000"/>
    <n v="225000"/>
    <s v="Cash"/>
  </r>
  <r>
    <x v="26"/>
    <x v="1"/>
    <x v="0"/>
    <n v="7"/>
    <n v="18000"/>
    <n v="126000"/>
    <s v="Cash"/>
  </r>
  <r>
    <x v="65"/>
    <x v="3"/>
    <x v="0"/>
    <n v="9"/>
    <n v="20000"/>
    <n v="180000"/>
    <s v="E-Wallet"/>
  </r>
  <r>
    <x v="77"/>
    <x v="2"/>
    <x v="0"/>
    <n v="5"/>
    <n v="15000"/>
    <n v="75000"/>
    <s v="E-Wallet"/>
  </r>
  <r>
    <x v="44"/>
    <x v="2"/>
    <x v="0"/>
    <n v="2"/>
    <n v="15000"/>
    <n v="30000"/>
    <s v="E-Wallet"/>
  </r>
  <r>
    <x v="67"/>
    <x v="1"/>
    <x v="0"/>
    <n v="19"/>
    <n v="12000"/>
    <n v="228000"/>
    <s v="Cash"/>
  </r>
  <r>
    <x v="30"/>
    <x v="4"/>
    <x v="0"/>
    <n v="8"/>
    <n v="20000"/>
    <n v="160000"/>
    <s v="QRIS"/>
  </r>
  <r>
    <x v="38"/>
    <x v="4"/>
    <x v="0"/>
    <n v="13"/>
    <n v="15000"/>
    <n v="195000"/>
    <s v="Cash"/>
  </r>
  <r>
    <x v="52"/>
    <x v="3"/>
    <x v="0"/>
    <n v="7"/>
    <n v="20000"/>
    <n v="140000"/>
    <s v="Cash"/>
  </r>
  <r>
    <x v="75"/>
    <x v="0"/>
    <x v="0"/>
    <n v="10"/>
    <n v="18000"/>
    <n v="180000"/>
    <s v="QRIS"/>
  </r>
  <r>
    <x v="20"/>
    <x v="4"/>
    <x v="0"/>
    <n v="11"/>
    <n v="20000"/>
    <n v="220000"/>
    <s v="QRIS"/>
  </r>
  <r>
    <x v="69"/>
    <x v="1"/>
    <x v="0"/>
    <n v="15"/>
    <n v="18000"/>
    <n v="270000"/>
    <s v="E-Wallet"/>
  </r>
  <r>
    <x v="88"/>
    <x v="2"/>
    <x v="0"/>
    <n v="16"/>
    <n v="20000"/>
    <n v="320000"/>
    <s v="Cash"/>
  </r>
  <r>
    <x v="77"/>
    <x v="0"/>
    <x v="0"/>
    <n v="3"/>
    <n v="12000"/>
    <n v="36000"/>
    <s v="Cash"/>
  </r>
  <r>
    <x v="30"/>
    <x v="3"/>
    <x v="0"/>
    <n v="11"/>
    <n v="12000"/>
    <n v="132000"/>
    <s v="Cash"/>
  </r>
  <r>
    <x v="79"/>
    <x v="1"/>
    <x v="0"/>
    <n v="3"/>
    <n v="15000"/>
    <n v="45000"/>
    <s v="E-Wallet"/>
  </r>
  <r>
    <x v="84"/>
    <x v="0"/>
    <x v="0"/>
    <n v="16"/>
    <n v="20000"/>
    <n v="320000"/>
    <s v="E-Wallet"/>
  </r>
  <r>
    <x v="18"/>
    <x v="2"/>
    <x v="0"/>
    <n v="11"/>
    <n v="12000"/>
    <n v="132000"/>
    <s v="Transfer"/>
  </r>
  <r>
    <x v="37"/>
    <x v="1"/>
    <x v="0"/>
    <n v="6"/>
    <n v="12000"/>
    <n v="72000"/>
    <s v="Cash"/>
  </r>
  <r>
    <x v="7"/>
    <x v="2"/>
    <x v="0"/>
    <n v="6"/>
    <n v="20000"/>
    <n v="120000"/>
    <s v="Transfer"/>
  </r>
  <r>
    <x v="38"/>
    <x v="1"/>
    <x v="0"/>
    <n v="16"/>
    <n v="18000"/>
    <n v="288000"/>
    <s v="E-Wallet"/>
  </r>
  <r>
    <x v="33"/>
    <x v="3"/>
    <x v="0"/>
    <n v="7"/>
    <n v="18000"/>
    <n v="126000"/>
    <s v="Transfer"/>
  </r>
  <r>
    <x v="25"/>
    <x v="0"/>
    <x v="0"/>
    <n v="15"/>
    <n v="12000"/>
    <n v="180000"/>
    <s v="E-Wallet"/>
  </r>
  <r>
    <x v="48"/>
    <x v="2"/>
    <x v="0"/>
    <n v="14"/>
    <n v="20000"/>
    <n v="280000"/>
    <s v="QRIS"/>
  </r>
  <r>
    <x v="4"/>
    <x v="4"/>
    <x v="0"/>
    <n v="18"/>
    <n v="15000"/>
    <n v="270000"/>
    <s v="E-Wallet"/>
  </r>
  <r>
    <x v="62"/>
    <x v="2"/>
    <x v="0"/>
    <n v="4"/>
    <n v="12000"/>
    <n v="48000"/>
    <s v="Cash"/>
  </r>
  <r>
    <x v="17"/>
    <x v="0"/>
    <x v="0"/>
    <n v="12"/>
    <n v="15000"/>
    <n v="180000"/>
    <s v="QRIS"/>
  </r>
  <r>
    <x v="51"/>
    <x v="3"/>
    <x v="0"/>
    <n v="5"/>
    <n v="15000"/>
    <n v="75000"/>
    <s v="Cash"/>
  </r>
  <r>
    <x v="22"/>
    <x v="0"/>
    <x v="0"/>
    <n v="9"/>
    <n v="20000"/>
    <n v="180000"/>
    <s v="E-Wallet"/>
  </r>
  <r>
    <x v="45"/>
    <x v="0"/>
    <x v="0"/>
    <n v="3"/>
    <n v="12000"/>
    <n v="36000"/>
    <s v="Cash"/>
  </r>
  <r>
    <x v="13"/>
    <x v="0"/>
    <x v="0"/>
    <n v="3"/>
    <n v="15000"/>
    <n v="45000"/>
    <s v="E-Wallet"/>
  </r>
  <r>
    <x v="43"/>
    <x v="4"/>
    <x v="0"/>
    <n v="17"/>
    <n v="15000"/>
    <n v="255000"/>
    <s v="QRIS"/>
  </r>
  <r>
    <x v="35"/>
    <x v="1"/>
    <x v="0"/>
    <n v="12"/>
    <n v="20000"/>
    <n v="240000"/>
    <s v="E-Wallet"/>
  </r>
  <r>
    <x v="49"/>
    <x v="4"/>
    <x v="0"/>
    <n v="5"/>
    <n v="12000"/>
    <n v="60000"/>
    <s v="QRIS"/>
  </r>
  <r>
    <x v="72"/>
    <x v="0"/>
    <x v="0"/>
    <n v="7"/>
    <n v="12000"/>
    <n v="84000"/>
    <s v="Transfer"/>
  </r>
  <r>
    <x v="31"/>
    <x v="2"/>
    <x v="0"/>
    <n v="20"/>
    <n v="15000"/>
    <n v="300000"/>
    <s v="Cash"/>
  </r>
  <r>
    <x v="36"/>
    <x v="3"/>
    <x v="0"/>
    <n v="5"/>
    <n v="12000"/>
    <n v="60000"/>
    <s v="Cash"/>
  </r>
  <r>
    <x v="23"/>
    <x v="1"/>
    <x v="0"/>
    <n v="4"/>
    <n v="18000"/>
    <n v="72000"/>
    <s v="Cash"/>
  </r>
  <r>
    <x v="47"/>
    <x v="1"/>
    <x v="0"/>
    <n v="7"/>
    <n v="18000"/>
    <n v="126000"/>
    <s v="Cash"/>
  </r>
  <r>
    <x v="43"/>
    <x v="4"/>
    <x v="0"/>
    <n v="1"/>
    <n v="15000"/>
    <n v="15000"/>
    <s v="QRIS"/>
  </r>
  <r>
    <x v="19"/>
    <x v="2"/>
    <x v="0"/>
    <n v="9"/>
    <n v="15000"/>
    <n v="135000"/>
    <s v="E-Wallet"/>
  </r>
  <r>
    <x v="65"/>
    <x v="1"/>
    <x v="0"/>
    <n v="1"/>
    <n v="20000"/>
    <n v="20000"/>
    <s v="QRIS"/>
  </r>
  <r>
    <x v="66"/>
    <x v="0"/>
    <x v="0"/>
    <n v="5"/>
    <n v="12000"/>
    <n v="60000"/>
    <s v="QRIS"/>
  </r>
  <r>
    <x v="89"/>
    <x v="3"/>
    <x v="0"/>
    <n v="11"/>
    <n v="20000"/>
    <n v="220000"/>
    <s v="Cash"/>
  </r>
  <r>
    <x v="87"/>
    <x v="1"/>
    <x v="0"/>
    <n v="19"/>
    <n v="20000"/>
    <n v="380000"/>
    <s v="Cash"/>
  </r>
  <r>
    <x v="19"/>
    <x v="0"/>
    <x v="0"/>
    <n v="13"/>
    <n v="12000"/>
    <n v="156000"/>
    <s v="Cash"/>
  </r>
  <r>
    <x v="21"/>
    <x v="2"/>
    <x v="0"/>
    <n v="8"/>
    <n v="15000"/>
    <n v="120000"/>
    <s v="Transfer"/>
  </r>
  <r>
    <x v="30"/>
    <x v="4"/>
    <x v="0"/>
    <n v="8"/>
    <n v="18000"/>
    <n v="144000"/>
    <s v="Transfer"/>
  </r>
  <r>
    <x v="8"/>
    <x v="4"/>
    <x v="0"/>
    <n v="16"/>
    <n v="15000"/>
    <n v="240000"/>
    <s v="E-Wallet"/>
  </r>
  <r>
    <x v="70"/>
    <x v="4"/>
    <x v="0"/>
    <n v="6"/>
    <n v="15000"/>
    <n v="90000"/>
    <s v="QRIS"/>
  </r>
  <r>
    <x v="41"/>
    <x v="1"/>
    <x v="0"/>
    <n v="4"/>
    <n v="15000"/>
    <n v="60000"/>
    <s v="E-Wallet"/>
  </r>
  <r>
    <x v="5"/>
    <x v="1"/>
    <x v="0"/>
    <n v="19"/>
    <n v="15000"/>
    <n v="285000"/>
    <s v="QRIS"/>
  </r>
  <r>
    <x v="44"/>
    <x v="2"/>
    <x v="0"/>
    <n v="10"/>
    <n v="12000"/>
    <n v="120000"/>
    <s v="QRIS"/>
  </r>
  <r>
    <x v="52"/>
    <x v="2"/>
    <x v="0"/>
    <n v="2"/>
    <n v="15000"/>
    <n v="30000"/>
    <s v="Cash"/>
  </r>
  <r>
    <x v="78"/>
    <x v="2"/>
    <x v="0"/>
    <n v="3"/>
    <n v="20000"/>
    <n v="60000"/>
    <s v="E-Wallet"/>
  </r>
  <r>
    <x v="25"/>
    <x v="1"/>
    <x v="0"/>
    <n v="10"/>
    <n v="12000"/>
    <n v="120000"/>
    <s v="Transfer"/>
  </r>
  <r>
    <x v="7"/>
    <x v="3"/>
    <x v="0"/>
    <n v="7"/>
    <n v="12000"/>
    <n v="84000"/>
    <s v="Transfer"/>
  </r>
  <r>
    <x v="5"/>
    <x v="1"/>
    <x v="0"/>
    <n v="6"/>
    <n v="18000"/>
    <n v="108000"/>
    <s v="QRIS"/>
  </r>
  <r>
    <x v="81"/>
    <x v="1"/>
    <x v="0"/>
    <n v="9"/>
    <n v="20000"/>
    <n v="180000"/>
    <s v="Transfer"/>
  </r>
  <r>
    <x v="81"/>
    <x v="2"/>
    <x v="0"/>
    <n v="5"/>
    <n v="18000"/>
    <n v="90000"/>
    <s v="Transfer"/>
  </r>
  <r>
    <x v="21"/>
    <x v="0"/>
    <x v="0"/>
    <n v="6"/>
    <n v="12000"/>
    <n v="72000"/>
    <s v="Cash"/>
  </r>
  <r>
    <x v="77"/>
    <x v="3"/>
    <x v="0"/>
    <n v="2"/>
    <n v="18000"/>
    <n v="36000"/>
    <s v="Cash"/>
  </r>
  <r>
    <x v="48"/>
    <x v="4"/>
    <x v="0"/>
    <n v="12"/>
    <n v="18000"/>
    <n v="216000"/>
    <s v="Transfer"/>
  </r>
  <r>
    <x v="30"/>
    <x v="0"/>
    <x v="0"/>
    <n v="16"/>
    <n v="20000"/>
    <n v="320000"/>
    <s v="Transfer"/>
  </r>
  <r>
    <x v="56"/>
    <x v="3"/>
    <x v="0"/>
    <n v="3"/>
    <n v="18000"/>
    <n v="54000"/>
    <s v="Cash"/>
  </r>
  <r>
    <x v="11"/>
    <x v="4"/>
    <x v="0"/>
    <n v="8"/>
    <n v="18000"/>
    <n v="144000"/>
    <s v="E-Wallet"/>
  </r>
  <r>
    <x v="25"/>
    <x v="3"/>
    <x v="0"/>
    <n v="16"/>
    <n v="15000"/>
    <n v="240000"/>
    <s v="Transfer"/>
  </r>
  <r>
    <x v="69"/>
    <x v="0"/>
    <x v="0"/>
    <n v="6"/>
    <n v="18000"/>
    <n v="108000"/>
    <s v="Cash"/>
  </r>
  <r>
    <x v="14"/>
    <x v="3"/>
    <x v="0"/>
    <n v="1"/>
    <n v="20000"/>
    <n v="20000"/>
    <s v="Transfer"/>
  </r>
  <r>
    <x v="9"/>
    <x v="2"/>
    <x v="0"/>
    <n v="18"/>
    <n v="18000"/>
    <n v="324000"/>
    <s v="QRIS"/>
  </r>
  <r>
    <x v="16"/>
    <x v="1"/>
    <x v="0"/>
    <n v="19"/>
    <n v="12000"/>
    <n v="228000"/>
    <s v="QRIS"/>
  </r>
  <r>
    <x v="59"/>
    <x v="2"/>
    <x v="0"/>
    <n v="17"/>
    <n v="18000"/>
    <n v="306000"/>
    <s v="Transfer"/>
  </r>
  <r>
    <x v="74"/>
    <x v="0"/>
    <x v="0"/>
    <n v="12"/>
    <n v="18000"/>
    <n v="216000"/>
    <s v="E-Wallet"/>
  </r>
  <r>
    <x v="9"/>
    <x v="3"/>
    <x v="0"/>
    <n v="13"/>
    <n v="18000"/>
    <n v="234000"/>
    <s v="QRIS"/>
  </r>
  <r>
    <x v="33"/>
    <x v="3"/>
    <x v="0"/>
    <n v="3"/>
    <n v="20000"/>
    <n v="60000"/>
    <s v="QRIS"/>
  </r>
  <r>
    <x v="46"/>
    <x v="1"/>
    <x v="0"/>
    <n v="7"/>
    <n v="18000"/>
    <n v="126000"/>
    <s v="Transfer"/>
  </r>
  <r>
    <x v="60"/>
    <x v="1"/>
    <x v="0"/>
    <n v="13"/>
    <n v="12000"/>
    <n v="156000"/>
    <s v="QRIS"/>
  </r>
  <r>
    <x v="56"/>
    <x v="0"/>
    <x v="0"/>
    <n v="19"/>
    <n v="20000"/>
    <n v="380000"/>
    <s v="Cash"/>
  </r>
  <r>
    <x v="46"/>
    <x v="0"/>
    <x v="0"/>
    <n v="15"/>
    <n v="18000"/>
    <n v="270000"/>
    <s v="Transfer"/>
  </r>
  <r>
    <x v="6"/>
    <x v="1"/>
    <x v="0"/>
    <n v="9"/>
    <n v="12000"/>
    <n v="108000"/>
    <s v="Cash"/>
  </r>
  <r>
    <x v="45"/>
    <x v="2"/>
    <x v="0"/>
    <n v="17"/>
    <n v="12000"/>
    <n v="204000"/>
    <s v="QRIS"/>
  </r>
  <r>
    <x v="9"/>
    <x v="3"/>
    <x v="0"/>
    <n v="20"/>
    <n v="20000"/>
    <n v="400000"/>
    <s v="Cash"/>
  </r>
  <r>
    <x v="58"/>
    <x v="0"/>
    <x v="0"/>
    <n v="1"/>
    <n v="20000"/>
    <n v="20000"/>
    <s v="E-Wallet"/>
  </r>
  <r>
    <x v="72"/>
    <x v="2"/>
    <x v="0"/>
    <n v="19"/>
    <n v="12000"/>
    <n v="228000"/>
    <s v="E-Wallet"/>
  </r>
  <r>
    <x v="14"/>
    <x v="3"/>
    <x v="0"/>
    <n v="3"/>
    <n v="12000"/>
    <n v="36000"/>
    <s v="Cash"/>
  </r>
  <r>
    <x v="7"/>
    <x v="4"/>
    <x v="0"/>
    <n v="12"/>
    <n v="15000"/>
    <n v="180000"/>
    <s v="Transfer"/>
  </r>
  <r>
    <x v="83"/>
    <x v="3"/>
    <x v="0"/>
    <n v="12"/>
    <n v="15000"/>
    <n v="180000"/>
    <s v="E-Wallet"/>
  </r>
  <r>
    <x v="44"/>
    <x v="1"/>
    <x v="0"/>
    <n v="17"/>
    <n v="20000"/>
    <n v="340000"/>
    <s v="E-Wallet"/>
  </r>
  <r>
    <x v="70"/>
    <x v="2"/>
    <x v="0"/>
    <n v="8"/>
    <n v="20000"/>
    <n v="160000"/>
    <s v="Cash"/>
  </r>
  <r>
    <x v="43"/>
    <x v="4"/>
    <x v="0"/>
    <n v="13"/>
    <n v="12000"/>
    <n v="156000"/>
    <s v="Cash"/>
  </r>
  <r>
    <x v="9"/>
    <x v="0"/>
    <x v="0"/>
    <n v="18"/>
    <n v="20000"/>
    <n v="360000"/>
    <s v="Transfer"/>
  </r>
  <r>
    <x v="70"/>
    <x v="2"/>
    <x v="0"/>
    <n v="16"/>
    <n v="18000"/>
    <n v="288000"/>
    <s v="E-Wallet"/>
  </r>
  <r>
    <x v="23"/>
    <x v="3"/>
    <x v="0"/>
    <n v="4"/>
    <n v="15000"/>
    <n v="60000"/>
    <s v="Cash"/>
  </r>
  <r>
    <x v="41"/>
    <x v="1"/>
    <x v="0"/>
    <n v="5"/>
    <n v="15000"/>
    <n v="75000"/>
    <s v="Cash"/>
  </r>
  <r>
    <x v="54"/>
    <x v="3"/>
    <x v="0"/>
    <n v="4"/>
    <n v="12000"/>
    <n v="48000"/>
    <s v="Cash"/>
  </r>
  <r>
    <x v="48"/>
    <x v="0"/>
    <x v="0"/>
    <n v="15"/>
    <n v="15000"/>
    <n v="225000"/>
    <s v="Cash"/>
  </r>
  <r>
    <x v="39"/>
    <x v="2"/>
    <x v="0"/>
    <n v="10"/>
    <n v="20000"/>
    <n v="200000"/>
    <s v="E-Wallet"/>
  </r>
  <r>
    <x v="3"/>
    <x v="2"/>
    <x v="0"/>
    <n v="8"/>
    <n v="20000"/>
    <n v="160000"/>
    <s v="Cash"/>
  </r>
  <r>
    <x v="1"/>
    <x v="2"/>
    <x v="0"/>
    <n v="9"/>
    <n v="15000"/>
    <n v="135000"/>
    <s v="Transfer"/>
  </r>
  <r>
    <x v="18"/>
    <x v="2"/>
    <x v="0"/>
    <n v="19"/>
    <n v="20000"/>
    <n v="380000"/>
    <s v="Cash"/>
  </r>
  <r>
    <x v="53"/>
    <x v="0"/>
    <x v="0"/>
    <n v="15"/>
    <n v="18000"/>
    <n v="270000"/>
    <s v="Cash"/>
  </r>
  <r>
    <x v="28"/>
    <x v="4"/>
    <x v="0"/>
    <n v="20"/>
    <n v="20000"/>
    <n v="400000"/>
    <s v="E-Wallet"/>
  </r>
  <r>
    <x v="59"/>
    <x v="3"/>
    <x v="0"/>
    <n v="6"/>
    <n v="20000"/>
    <n v="120000"/>
    <s v="Transfer"/>
  </r>
  <r>
    <x v="1"/>
    <x v="1"/>
    <x v="0"/>
    <n v="14"/>
    <n v="20000"/>
    <n v="280000"/>
    <s v="E-Wallet"/>
  </r>
  <r>
    <x v="88"/>
    <x v="0"/>
    <x v="0"/>
    <n v="8"/>
    <n v="12000"/>
    <n v="96000"/>
    <s v="E-Wallet"/>
  </r>
  <r>
    <x v="6"/>
    <x v="1"/>
    <x v="0"/>
    <n v="17"/>
    <n v="12000"/>
    <n v="204000"/>
    <s v="Cash"/>
  </r>
  <r>
    <x v="58"/>
    <x v="3"/>
    <x v="0"/>
    <n v="4"/>
    <n v="15000"/>
    <n v="60000"/>
    <s v="QRIS"/>
  </r>
  <r>
    <x v="37"/>
    <x v="4"/>
    <x v="0"/>
    <n v="13"/>
    <n v="12000"/>
    <n v="156000"/>
    <s v="Transfer"/>
  </r>
  <r>
    <x v="30"/>
    <x v="3"/>
    <x v="0"/>
    <n v="16"/>
    <n v="12000"/>
    <n v="192000"/>
    <s v="Cash"/>
  </r>
  <r>
    <x v="5"/>
    <x v="4"/>
    <x v="0"/>
    <n v="4"/>
    <n v="18000"/>
    <n v="72000"/>
    <s v="E-Wallet"/>
  </r>
  <r>
    <x v="68"/>
    <x v="2"/>
    <x v="0"/>
    <n v="12"/>
    <n v="20000"/>
    <n v="240000"/>
    <s v="Transfer"/>
  </r>
  <r>
    <x v="16"/>
    <x v="3"/>
    <x v="0"/>
    <n v="8"/>
    <n v="15000"/>
    <n v="120000"/>
    <s v="QRIS"/>
  </r>
  <r>
    <x v="22"/>
    <x v="0"/>
    <x v="0"/>
    <n v="3"/>
    <n v="12000"/>
    <n v="36000"/>
    <s v="QRIS"/>
  </r>
  <r>
    <x v="84"/>
    <x v="3"/>
    <x v="0"/>
    <n v="20"/>
    <n v="18000"/>
    <n v="360000"/>
    <s v="QRIS"/>
  </r>
  <r>
    <x v="66"/>
    <x v="2"/>
    <x v="0"/>
    <n v="16"/>
    <n v="15000"/>
    <n v="240000"/>
    <s v="Transfer"/>
  </r>
  <r>
    <x v="34"/>
    <x v="4"/>
    <x v="0"/>
    <n v="17"/>
    <n v="15000"/>
    <n v="255000"/>
    <s v="E-Wallet"/>
  </r>
  <r>
    <x v="33"/>
    <x v="0"/>
    <x v="0"/>
    <n v="11"/>
    <n v="12000"/>
    <n v="132000"/>
    <s v="Transfer"/>
  </r>
  <r>
    <x v="81"/>
    <x v="2"/>
    <x v="0"/>
    <n v="2"/>
    <n v="20000"/>
    <n v="40000"/>
    <s v="E-Wallet"/>
  </r>
  <r>
    <x v="86"/>
    <x v="2"/>
    <x v="0"/>
    <n v="5"/>
    <n v="15000"/>
    <n v="75000"/>
    <s v="Cash"/>
  </r>
  <r>
    <x v="55"/>
    <x v="2"/>
    <x v="0"/>
    <n v="13"/>
    <n v="18000"/>
    <n v="234000"/>
    <s v="Cash"/>
  </r>
  <r>
    <x v="25"/>
    <x v="3"/>
    <x v="0"/>
    <n v="1"/>
    <n v="12000"/>
    <n v="12000"/>
    <s v="Transfer"/>
  </r>
  <r>
    <x v="49"/>
    <x v="1"/>
    <x v="0"/>
    <n v="14"/>
    <n v="18000"/>
    <n v="252000"/>
    <s v="Cash"/>
  </r>
  <r>
    <x v="44"/>
    <x v="3"/>
    <x v="0"/>
    <n v="17"/>
    <n v="18000"/>
    <n v="306000"/>
    <s v="Transfer"/>
  </r>
  <r>
    <x v="13"/>
    <x v="1"/>
    <x v="0"/>
    <n v="11"/>
    <n v="12000"/>
    <n v="132000"/>
    <s v="Cash"/>
  </r>
  <r>
    <x v="10"/>
    <x v="2"/>
    <x v="0"/>
    <n v="14"/>
    <n v="20000"/>
    <n v="280000"/>
    <s v="QRIS"/>
  </r>
  <r>
    <x v="58"/>
    <x v="3"/>
    <x v="0"/>
    <n v="4"/>
    <n v="12000"/>
    <n v="48000"/>
    <s v="QRIS"/>
  </r>
  <r>
    <x v="19"/>
    <x v="4"/>
    <x v="0"/>
    <n v="6"/>
    <n v="18000"/>
    <n v="108000"/>
    <s v="QRIS"/>
  </r>
  <r>
    <x v="44"/>
    <x v="4"/>
    <x v="0"/>
    <n v="2"/>
    <n v="12000"/>
    <n v="24000"/>
    <s v="Cash"/>
  </r>
  <r>
    <x v="28"/>
    <x v="1"/>
    <x v="0"/>
    <n v="14"/>
    <n v="15000"/>
    <n v="210000"/>
    <s v="QRIS"/>
  </r>
  <r>
    <x v="80"/>
    <x v="2"/>
    <x v="0"/>
    <n v="14"/>
    <n v="20000"/>
    <n v="280000"/>
    <s v="E-Wallet"/>
  </r>
  <r>
    <x v="24"/>
    <x v="0"/>
    <x v="0"/>
    <n v="20"/>
    <n v="20000"/>
    <n v="400000"/>
    <s v="Transfer"/>
  </r>
  <r>
    <x v="23"/>
    <x v="2"/>
    <x v="0"/>
    <n v="4"/>
    <n v="18000"/>
    <n v="72000"/>
    <s v="Cash"/>
  </r>
  <r>
    <x v="14"/>
    <x v="4"/>
    <x v="0"/>
    <n v="16"/>
    <n v="12000"/>
    <n v="192000"/>
    <s v="QRIS"/>
  </r>
  <r>
    <x v="27"/>
    <x v="3"/>
    <x v="0"/>
    <n v="9"/>
    <n v="15000"/>
    <n v="135000"/>
    <s v="Cash"/>
  </r>
  <r>
    <x v="9"/>
    <x v="0"/>
    <x v="0"/>
    <n v="8"/>
    <n v="18000"/>
    <n v="144000"/>
    <s v="QRIS"/>
  </r>
  <r>
    <x v="39"/>
    <x v="1"/>
    <x v="0"/>
    <n v="2"/>
    <n v="15000"/>
    <n v="30000"/>
    <s v="Cash"/>
  </r>
  <r>
    <x v="37"/>
    <x v="0"/>
    <x v="0"/>
    <n v="13"/>
    <n v="15000"/>
    <n v="195000"/>
    <s v="Cash"/>
  </r>
  <r>
    <x v="25"/>
    <x v="4"/>
    <x v="0"/>
    <n v="14"/>
    <n v="15000"/>
    <n v="210000"/>
    <s v="QRIS"/>
  </r>
  <r>
    <x v="39"/>
    <x v="2"/>
    <x v="0"/>
    <n v="10"/>
    <n v="18000"/>
    <n v="180000"/>
    <s v="Transfer"/>
  </r>
  <r>
    <x v="12"/>
    <x v="0"/>
    <x v="0"/>
    <n v="6"/>
    <n v="18000"/>
    <n v="108000"/>
    <s v="Transfer"/>
  </r>
  <r>
    <x v="22"/>
    <x v="3"/>
    <x v="0"/>
    <n v="4"/>
    <n v="12000"/>
    <n v="48000"/>
    <s v="Cash"/>
  </r>
  <r>
    <x v="20"/>
    <x v="2"/>
    <x v="0"/>
    <n v="17"/>
    <n v="20000"/>
    <n v="340000"/>
    <s v="QRIS"/>
  </r>
  <r>
    <x v="8"/>
    <x v="3"/>
    <x v="0"/>
    <n v="7"/>
    <n v="12000"/>
    <n v="84000"/>
    <s v="Cash"/>
  </r>
  <r>
    <x v="56"/>
    <x v="4"/>
    <x v="0"/>
    <n v="19"/>
    <n v="15000"/>
    <n v="285000"/>
    <s v="Cash"/>
  </r>
  <r>
    <x v="15"/>
    <x v="1"/>
    <x v="0"/>
    <n v="8"/>
    <n v="15000"/>
    <n v="120000"/>
    <s v="E-Wallet"/>
  </r>
  <r>
    <x v="58"/>
    <x v="2"/>
    <x v="0"/>
    <n v="2"/>
    <n v="20000"/>
    <n v="40000"/>
    <s v="QRIS"/>
  </r>
  <r>
    <x v="61"/>
    <x v="0"/>
    <x v="0"/>
    <n v="14"/>
    <n v="12000"/>
    <n v="168000"/>
    <s v="Transfer"/>
  </r>
  <r>
    <x v="14"/>
    <x v="0"/>
    <x v="0"/>
    <n v="11"/>
    <n v="20000"/>
    <n v="220000"/>
    <s v="Cash"/>
  </r>
  <r>
    <x v="77"/>
    <x v="0"/>
    <x v="0"/>
    <n v="4"/>
    <n v="20000"/>
    <n v="80000"/>
    <s v="E-Wallet"/>
  </r>
  <r>
    <x v="69"/>
    <x v="0"/>
    <x v="0"/>
    <n v="10"/>
    <n v="18000"/>
    <n v="180000"/>
    <s v="Cash"/>
  </r>
  <r>
    <x v="6"/>
    <x v="3"/>
    <x v="0"/>
    <n v="8"/>
    <n v="18000"/>
    <n v="144000"/>
    <s v="QRIS"/>
  </r>
  <r>
    <x v="30"/>
    <x v="4"/>
    <x v="0"/>
    <n v="16"/>
    <n v="15000"/>
    <n v="240000"/>
    <s v="Transfer"/>
  </r>
  <r>
    <x v="71"/>
    <x v="2"/>
    <x v="0"/>
    <n v="1"/>
    <n v="15000"/>
    <n v="15000"/>
    <s v="E-Wallet"/>
  </r>
  <r>
    <x v="41"/>
    <x v="1"/>
    <x v="0"/>
    <n v="19"/>
    <n v="20000"/>
    <n v="380000"/>
    <s v="E-Wallet"/>
  </r>
  <r>
    <x v="23"/>
    <x v="4"/>
    <x v="0"/>
    <n v="16"/>
    <n v="15000"/>
    <n v="240000"/>
    <s v="E-Wallet"/>
  </r>
  <r>
    <x v="30"/>
    <x v="4"/>
    <x v="0"/>
    <n v="9"/>
    <n v="15000"/>
    <n v="135000"/>
    <s v="E-Wallet"/>
  </r>
  <r>
    <x v="36"/>
    <x v="0"/>
    <x v="0"/>
    <n v="14"/>
    <n v="15000"/>
    <n v="210000"/>
    <s v="Transfer"/>
  </r>
  <r>
    <x v="23"/>
    <x v="0"/>
    <x v="0"/>
    <n v="15"/>
    <n v="20000"/>
    <n v="300000"/>
    <s v="Cash"/>
  </r>
  <r>
    <x v="11"/>
    <x v="0"/>
    <x v="0"/>
    <n v="14"/>
    <n v="18000"/>
    <n v="252000"/>
    <s v="QRIS"/>
  </r>
  <r>
    <x v="63"/>
    <x v="4"/>
    <x v="0"/>
    <n v="13"/>
    <n v="12000"/>
    <n v="156000"/>
    <s v="E-Wallet"/>
  </r>
  <r>
    <x v="24"/>
    <x v="0"/>
    <x v="0"/>
    <n v="7"/>
    <n v="20000"/>
    <n v="140000"/>
    <s v="E-Wallet"/>
  </r>
  <r>
    <x v="84"/>
    <x v="2"/>
    <x v="0"/>
    <n v="17"/>
    <n v="20000"/>
    <n v="340000"/>
    <s v="E-Wallet"/>
  </r>
  <r>
    <x v="25"/>
    <x v="0"/>
    <x v="0"/>
    <n v="2"/>
    <n v="12000"/>
    <n v="24000"/>
    <s v="QRIS"/>
  </r>
  <r>
    <x v="49"/>
    <x v="2"/>
    <x v="0"/>
    <n v="18"/>
    <n v="15000"/>
    <n v="270000"/>
    <s v="Transfe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025-06-06"/>
    <x v="0"/>
    <x v="0"/>
    <x v="0"/>
    <x v="0"/>
    <x v="0"/>
    <n v="9"/>
    <n v="15000"/>
    <n v="135000"/>
    <x v="0"/>
  </r>
  <r>
    <s v="2025-04-23"/>
    <x v="1"/>
    <x v="1"/>
    <x v="0"/>
    <x v="1"/>
    <x v="0"/>
    <n v="3"/>
    <n v="18000"/>
    <n v="54000"/>
    <x v="1"/>
  </r>
  <r>
    <s v="2025-06-02"/>
    <x v="2"/>
    <x v="0"/>
    <x v="0"/>
    <x v="1"/>
    <x v="0"/>
    <n v="17"/>
    <n v="18000"/>
    <n v="306000"/>
    <x v="0"/>
  </r>
  <r>
    <s v="2025-06-13"/>
    <x v="0"/>
    <x v="0"/>
    <x v="0"/>
    <x v="2"/>
    <x v="0"/>
    <n v="9"/>
    <n v="15000"/>
    <n v="135000"/>
    <x v="0"/>
  </r>
  <r>
    <s v="2025-05-07"/>
    <x v="1"/>
    <x v="2"/>
    <x v="0"/>
    <x v="0"/>
    <x v="0"/>
    <n v="17"/>
    <n v="15000"/>
    <n v="255000"/>
    <x v="2"/>
  </r>
  <r>
    <s v="2025-06-17"/>
    <x v="3"/>
    <x v="0"/>
    <x v="0"/>
    <x v="1"/>
    <x v="0"/>
    <n v="10"/>
    <n v="20000"/>
    <n v="200000"/>
    <x v="3"/>
  </r>
  <r>
    <s v="2025-05-15"/>
    <x v="4"/>
    <x v="2"/>
    <x v="0"/>
    <x v="0"/>
    <x v="0"/>
    <n v="9"/>
    <n v="15000"/>
    <n v="135000"/>
    <x v="1"/>
  </r>
  <r>
    <s v="2025-04-23"/>
    <x v="1"/>
    <x v="1"/>
    <x v="0"/>
    <x v="3"/>
    <x v="0"/>
    <n v="16"/>
    <n v="15000"/>
    <n v="240000"/>
    <x v="2"/>
  </r>
  <r>
    <s v="2025-06-27"/>
    <x v="0"/>
    <x v="0"/>
    <x v="0"/>
    <x v="2"/>
    <x v="0"/>
    <n v="4"/>
    <n v="15000"/>
    <n v="60000"/>
    <x v="2"/>
  </r>
  <r>
    <s v="2025-06-25"/>
    <x v="1"/>
    <x v="0"/>
    <x v="0"/>
    <x v="1"/>
    <x v="0"/>
    <n v="19"/>
    <n v="20000"/>
    <n v="380000"/>
    <x v="0"/>
  </r>
  <r>
    <s v="2025-05-16"/>
    <x v="0"/>
    <x v="2"/>
    <x v="0"/>
    <x v="4"/>
    <x v="0"/>
    <n v="7"/>
    <n v="18000"/>
    <n v="126000"/>
    <x v="2"/>
  </r>
  <r>
    <s v="2025-06-29"/>
    <x v="5"/>
    <x v="0"/>
    <x v="1"/>
    <x v="4"/>
    <x v="0"/>
    <n v="18"/>
    <n v="18000"/>
    <n v="324000"/>
    <x v="2"/>
  </r>
  <r>
    <s v="2025-06-03"/>
    <x v="3"/>
    <x v="0"/>
    <x v="0"/>
    <x v="2"/>
    <x v="0"/>
    <n v="18"/>
    <n v="15000"/>
    <n v="270000"/>
    <x v="0"/>
  </r>
  <r>
    <s v="2025-04-10"/>
    <x v="4"/>
    <x v="1"/>
    <x v="0"/>
    <x v="4"/>
    <x v="0"/>
    <n v="4"/>
    <n v="18000"/>
    <n v="72000"/>
    <x v="2"/>
  </r>
  <r>
    <s v="2025-04-04"/>
    <x v="0"/>
    <x v="1"/>
    <x v="0"/>
    <x v="0"/>
    <x v="0"/>
    <n v="12"/>
    <n v="15000"/>
    <n v="180000"/>
    <x v="0"/>
  </r>
  <r>
    <s v="2025-04-10"/>
    <x v="4"/>
    <x v="1"/>
    <x v="0"/>
    <x v="0"/>
    <x v="0"/>
    <n v="13"/>
    <n v="20000"/>
    <n v="260000"/>
    <x v="1"/>
  </r>
  <r>
    <s v="2025-04-13"/>
    <x v="5"/>
    <x v="1"/>
    <x v="1"/>
    <x v="0"/>
    <x v="0"/>
    <n v="7"/>
    <n v="15000"/>
    <n v="105000"/>
    <x v="0"/>
  </r>
  <r>
    <s v="2025-05-27"/>
    <x v="3"/>
    <x v="2"/>
    <x v="0"/>
    <x v="0"/>
    <x v="0"/>
    <n v="19"/>
    <n v="12000"/>
    <n v="228000"/>
    <x v="2"/>
  </r>
  <r>
    <s v="2025-04-10"/>
    <x v="4"/>
    <x v="1"/>
    <x v="0"/>
    <x v="4"/>
    <x v="0"/>
    <n v="3"/>
    <n v="20000"/>
    <n v="60000"/>
    <x v="1"/>
  </r>
  <r>
    <s v="2025-06-13"/>
    <x v="0"/>
    <x v="0"/>
    <x v="0"/>
    <x v="1"/>
    <x v="0"/>
    <n v="1"/>
    <n v="12000"/>
    <n v="12000"/>
    <x v="3"/>
  </r>
  <r>
    <s v="2025-04-07"/>
    <x v="2"/>
    <x v="1"/>
    <x v="0"/>
    <x v="0"/>
    <x v="0"/>
    <n v="1"/>
    <n v="12000"/>
    <n v="12000"/>
    <x v="1"/>
  </r>
  <r>
    <s v="2025-06-11"/>
    <x v="1"/>
    <x v="0"/>
    <x v="0"/>
    <x v="2"/>
    <x v="0"/>
    <n v="17"/>
    <n v="15000"/>
    <n v="255000"/>
    <x v="3"/>
  </r>
  <r>
    <s v="2025-06-28"/>
    <x v="6"/>
    <x v="0"/>
    <x v="1"/>
    <x v="0"/>
    <x v="0"/>
    <n v="10"/>
    <n v="12000"/>
    <n v="120000"/>
    <x v="3"/>
  </r>
  <r>
    <s v="2025-06-15"/>
    <x v="5"/>
    <x v="0"/>
    <x v="1"/>
    <x v="3"/>
    <x v="0"/>
    <n v="4"/>
    <n v="12000"/>
    <n v="48000"/>
    <x v="1"/>
  </r>
  <r>
    <s v="2025-04-17"/>
    <x v="4"/>
    <x v="1"/>
    <x v="0"/>
    <x v="1"/>
    <x v="0"/>
    <n v="6"/>
    <n v="18000"/>
    <n v="108000"/>
    <x v="0"/>
  </r>
  <r>
    <s v="2025-06-03"/>
    <x v="3"/>
    <x v="0"/>
    <x v="0"/>
    <x v="2"/>
    <x v="0"/>
    <n v="8"/>
    <n v="18000"/>
    <n v="144000"/>
    <x v="3"/>
  </r>
  <r>
    <s v="2025-04-17"/>
    <x v="4"/>
    <x v="1"/>
    <x v="0"/>
    <x v="3"/>
    <x v="0"/>
    <n v="19"/>
    <n v="12000"/>
    <n v="228000"/>
    <x v="3"/>
  </r>
  <r>
    <s v="2025-05-22"/>
    <x v="4"/>
    <x v="2"/>
    <x v="0"/>
    <x v="2"/>
    <x v="0"/>
    <n v="17"/>
    <n v="12000"/>
    <n v="204000"/>
    <x v="1"/>
  </r>
  <r>
    <s v="2025-06-13"/>
    <x v="0"/>
    <x v="0"/>
    <x v="0"/>
    <x v="0"/>
    <x v="0"/>
    <n v="19"/>
    <n v="15000"/>
    <n v="285000"/>
    <x v="0"/>
  </r>
  <r>
    <s v="2025-04-03"/>
    <x v="4"/>
    <x v="1"/>
    <x v="0"/>
    <x v="4"/>
    <x v="0"/>
    <n v="4"/>
    <n v="12000"/>
    <n v="48000"/>
    <x v="1"/>
  </r>
  <r>
    <s v="2025-06-13"/>
    <x v="0"/>
    <x v="0"/>
    <x v="0"/>
    <x v="1"/>
    <x v="0"/>
    <n v="15"/>
    <n v="12000"/>
    <n v="180000"/>
    <x v="3"/>
  </r>
  <r>
    <s v="2025-06-12"/>
    <x v="4"/>
    <x v="0"/>
    <x v="0"/>
    <x v="0"/>
    <x v="0"/>
    <n v="13"/>
    <n v="15000"/>
    <n v="195000"/>
    <x v="0"/>
  </r>
  <r>
    <s v="2025-05-27"/>
    <x v="3"/>
    <x v="2"/>
    <x v="0"/>
    <x v="3"/>
    <x v="0"/>
    <n v="20"/>
    <n v="12000"/>
    <n v="240000"/>
    <x v="2"/>
  </r>
  <r>
    <s v="2025-04-06"/>
    <x v="5"/>
    <x v="1"/>
    <x v="1"/>
    <x v="4"/>
    <x v="0"/>
    <n v="9"/>
    <n v="20000"/>
    <n v="180000"/>
    <x v="1"/>
  </r>
  <r>
    <s v="2025-05-17"/>
    <x v="6"/>
    <x v="2"/>
    <x v="1"/>
    <x v="3"/>
    <x v="0"/>
    <n v="7"/>
    <n v="15000"/>
    <n v="105000"/>
    <x v="3"/>
  </r>
  <r>
    <s v="2025-05-29"/>
    <x v="4"/>
    <x v="2"/>
    <x v="0"/>
    <x v="2"/>
    <x v="0"/>
    <n v="18"/>
    <n v="18000"/>
    <n v="324000"/>
    <x v="2"/>
  </r>
  <r>
    <s v="2025-06-11"/>
    <x v="1"/>
    <x v="0"/>
    <x v="0"/>
    <x v="0"/>
    <x v="0"/>
    <n v="8"/>
    <n v="15000"/>
    <n v="120000"/>
    <x v="3"/>
  </r>
  <r>
    <s v="2025-04-18"/>
    <x v="0"/>
    <x v="1"/>
    <x v="0"/>
    <x v="4"/>
    <x v="0"/>
    <n v="6"/>
    <n v="18000"/>
    <n v="108000"/>
    <x v="1"/>
  </r>
  <r>
    <s v="2025-05-27"/>
    <x v="3"/>
    <x v="2"/>
    <x v="0"/>
    <x v="3"/>
    <x v="0"/>
    <n v="18"/>
    <n v="12000"/>
    <n v="216000"/>
    <x v="3"/>
  </r>
  <r>
    <s v="2025-06-13"/>
    <x v="0"/>
    <x v="0"/>
    <x v="0"/>
    <x v="4"/>
    <x v="0"/>
    <n v="7"/>
    <n v="20000"/>
    <n v="140000"/>
    <x v="3"/>
  </r>
  <r>
    <s v="2025-06-27"/>
    <x v="0"/>
    <x v="0"/>
    <x v="0"/>
    <x v="3"/>
    <x v="0"/>
    <n v="7"/>
    <n v="15000"/>
    <n v="105000"/>
    <x v="3"/>
  </r>
  <r>
    <s v="2025-06-27"/>
    <x v="0"/>
    <x v="0"/>
    <x v="0"/>
    <x v="4"/>
    <x v="0"/>
    <n v="9"/>
    <n v="12000"/>
    <n v="108000"/>
    <x v="3"/>
  </r>
  <r>
    <s v="2025-05-10"/>
    <x v="6"/>
    <x v="2"/>
    <x v="1"/>
    <x v="3"/>
    <x v="0"/>
    <n v="20"/>
    <n v="12000"/>
    <n v="240000"/>
    <x v="3"/>
  </r>
  <r>
    <s v="2025-06-05"/>
    <x v="4"/>
    <x v="0"/>
    <x v="0"/>
    <x v="3"/>
    <x v="0"/>
    <n v="11"/>
    <n v="18000"/>
    <n v="198000"/>
    <x v="0"/>
  </r>
  <r>
    <s v="2025-05-10"/>
    <x v="6"/>
    <x v="2"/>
    <x v="1"/>
    <x v="0"/>
    <x v="0"/>
    <n v="3"/>
    <n v="15000"/>
    <n v="45000"/>
    <x v="2"/>
  </r>
  <r>
    <s v="2025-05-02"/>
    <x v="0"/>
    <x v="2"/>
    <x v="0"/>
    <x v="3"/>
    <x v="0"/>
    <n v="15"/>
    <n v="15000"/>
    <n v="225000"/>
    <x v="0"/>
  </r>
  <r>
    <s v="2025-04-15"/>
    <x v="3"/>
    <x v="1"/>
    <x v="0"/>
    <x v="4"/>
    <x v="0"/>
    <n v="14"/>
    <n v="18000"/>
    <n v="252000"/>
    <x v="1"/>
  </r>
  <r>
    <s v="2025-06-20"/>
    <x v="0"/>
    <x v="0"/>
    <x v="0"/>
    <x v="2"/>
    <x v="0"/>
    <n v="1"/>
    <n v="18000"/>
    <n v="18000"/>
    <x v="0"/>
  </r>
  <r>
    <s v="2025-04-17"/>
    <x v="4"/>
    <x v="1"/>
    <x v="0"/>
    <x v="2"/>
    <x v="0"/>
    <n v="14"/>
    <n v="20000"/>
    <n v="280000"/>
    <x v="2"/>
  </r>
  <r>
    <s v="2025-05-02"/>
    <x v="0"/>
    <x v="2"/>
    <x v="0"/>
    <x v="4"/>
    <x v="0"/>
    <n v="6"/>
    <n v="15000"/>
    <n v="90000"/>
    <x v="3"/>
  </r>
  <r>
    <s v="2025-04-17"/>
    <x v="4"/>
    <x v="1"/>
    <x v="0"/>
    <x v="4"/>
    <x v="0"/>
    <n v="7"/>
    <n v="20000"/>
    <n v="140000"/>
    <x v="3"/>
  </r>
  <r>
    <s v="2025-06-11"/>
    <x v="1"/>
    <x v="0"/>
    <x v="0"/>
    <x v="4"/>
    <x v="0"/>
    <n v="7"/>
    <n v="18000"/>
    <n v="126000"/>
    <x v="2"/>
  </r>
  <r>
    <s v="2025-06-29"/>
    <x v="5"/>
    <x v="0"/>
    <x v="1"/>
    <x v="4"/>
    <x v="0"/>
    <n v="14"/>
    <n v="18000"/>
    <n v="252000"/>
    <x v="0"/>
  </r>
  <r>
    <s v="2025-04-29"/>
    <x v="3"/>
    <x v="1"/>
    <x v="0"/>
    <x v="1"/>
    <x v="0"/>
    <n v="10"/>
    <n v="18000"/>
    <n v="180000"/>
    <x v="2"/>
  </r>
  <r>
    <s v="2025-06-16"/>
    <x v="2"/>
    <x v="0"/>
    <x v="0"/>
    <x v="4"/>
    <x v="0"/>
    <n v="20"/>
    <n v="15000"/>
    <n v="300000"/>
    <x v="2"/>
  </r>
  <r>
    <s v="2025-06-04"/>
    <x v="1"/>
    <x v="0"/>
    <x v="0"/>
    <x v="3"/>
    <x v="0"/>
    <n v="6"/>
    <n v="12000"/>
    <n v="72000"/>
    <x v="1"/>
  </r>
  <r>
    <s v="2025-04-12"/>
    <x v="6"/>
    <x v="1"/>
    <x v="1"/>
    <x v="0"/>
    <x v="0"/>
    <n v="6"/>
    <n v="20000"/>
    <n v="120000"/>
    <x v="2"/>
  </r>
  <r>
    <s v="2025-06-03"/>
    <x v="3"/>
    <x v="0"/>
    <x v="0"/>
    <x v="1"/>
    <x v="0"/>
    <n v="10"/>
    <n v="20000"/>
    <n v="200000"/>
    <x v="2"/>
  </r>
  <r>
    <s v="2025-06-08"/>
    <x v="5"/>
    <x v="0"/>
    <x v="1"/>
    <x v="0"/>
    <x v="0"/>
    <n v="6"/>
    <n v="12000"/>
    <n v="72000"/>
    <x v="3"/>
  </r>
  <r>
    <s v="2025-06-12"/>
    <x v="4"/>
    <x v="0"/>
    <x v="0"/>
    <x v="3"/>
    <x v="0"/>
    <n v="6"/>
    <n v="20000"/>
    <n v="120000"/>
    <x v="1"/>
  </r>
  <r>
    <s v="2025-06-08"/>
    <x v="5"/>
    <x v="0"/>
    <x v="1"/>
    <x v="3"/>
    <x v="0"/>
    <n v="17"/>
    <n v="20000"/>
    <n v="340000"/>
    <x v="1"/>
  </r>
  <r>
    <s v="2025-05-02"/>
    <x v="0"/>
    <x v="2"/>
    <x v="0"/>
    <x v="4"/>
    <x v="0"/>
    <n v="10"/>
    <n v="20000"/>
    <n v="200000"/>
    <x v="0"/>
  </r>
  <r>
    <s v="2025-06-11"/>
    <x v="1"/>
    <x v="0"/>
    <x v="0"/>
    <x v="0"/>
    <x v="0"/>
    <n v="10"/>
    <n v="18000"/>
    <n v="180000"/>
    <x v="0"/>
  </r>
  <r>
    <s v="2025-04-30"/>
    <x v="1"/>
    <x v="1"/>
    <x v="0"/>
    <x v="3"/>
    <x v="0"/>
    <n v="4"/>
    <n v="12000"/>
    <n v="48000"/>
    <x v="3"/>
  </r>
  <r>
    <s v="2025-06-05"/>
    <x v="4"/>
    <x v="0"/>
    <x v="0"/>
    <x v="3"/>
    <x v="0"/>
    <n v="14"/>
    <n v="18000"/>
    <n v="252000"/>
    <x v="1"/>
  </r>
  <r>
    <s v="2025-04-13"/>
    <x v="5"/>
    <x v="1"/>
    <x v="1"/>
    <x v="4"/>
    <x v="0"/>
    <n v="17"/>
    <n v="15000"/>
    <n v="255000"/>
    <x v="1"/>
  </r>
  <r>
    <s v="2025-05-23"/>
    <x v="0"/>
    <x v="2"/>
    <x v="0"/>
    <x v="3"/>
    <x v="0"/>
    <n v="16"/>
    <n v="12000"/>
    <n v="192000"/>
    <x v="0"/>
  </r>
  <r>
    <s v="2025-05-31"/>
    <x v="6"/>
    <x v="2"/>
    <x v="1"/>
    <x v="3"/>
    <x v="0"/>
    <n v="18"/>
    <n v="20000"/>
    <n v="360000"/>
    <x v="1"/>
  </r>
  <r>
    <s v="2025-05-15"/>
    <x v="4"/>
    <x v="2"/>
    <x v="0"/>
    <x v="0"/>
    <x v="0"/>
    <n v="12"/>
    <n v="18000"/>
    <n v="216000"/>
    <x v="0"/>
  </r>
  <r>
    <s v="2025-04-28"/>
    <x v="2"/>
    <x v="1"/>
    <x v="0"/>
    <x v="2"/>
    <x v="0"/>
    <n v="6"/>
    <n v="18000"/>
    <n v="108000"/>
    <x v="1"/>
  </r>
  <r>
    <s v="2025-06-04"/>
    <x v="1"/>
    <x v="0"/>
    <x v="0"/>
    <x v="0"/>
    <x v="0"/>
    <n v="19"/>
    <n v="20000"/>
    <n v="380000"/>
    <x v="2"/>
  </r>
  <r>
    <s v="2025-06-24"/>
    <x v="3"/>
    <x v="0"/>
    <x v="0"/>
    <x v="4"/>
    <x v="0"/>
    <n v="3"/>
    <n v="18000"/>
    <n v="54000"/>
    <x v="0"/>
  </r>
  <r>
    <s v="2025-04-26"/>
    <x v="6"/>
    <x v="1"/>
    <x v="1"/>
    <x v="4"/>
    <x v="0"/>
    <n v="10"/>
    <n v="12000"/>
    <n v="120000"/>
    <x v="0"/>
  </r>
  <r>
    <s v="2025-05-14"/>
    <x v="1"/>
    <x v="2"/>
    <x v="0"/>
    <x v="1"/>
    <x v="0"/>
    <n v="2"/>
    <n v="18000"/>
    <n v="36000"/>
    <x v="2"/>
  </r>
  <r>
    <s v="2025-06-27"/>
    <x v="0"/>
    <x v="0"/>
    <x v="0"/>
    <x v="2"/>
    <x v="0"/>
    <n v="8"/>
    <n v="18000"/>
    <n v="144000"/>
    <x v="0"/>
  </r>
  <r>
    <s v="2025-05-23"/>
    <x v="0"/>
    <x v="2"/>
    <x v="0"/>
    <x v="4"/>
    <x v="0"/>
    <n v="6"/>
    <n v="18000"/>
    <n v="108000"/>
    <x v="2"/>
  </r>
  <r>
    <s v="2025-06-18"/>
    <x v="1"/>
    <x v="0"/>
    <x v="0"/>
    <x v="2"/>
    <x v="0"/>
    <n v="12"/>
    <n v="18000"/>
    <n v="216000"/>
    <x v="2"/>
  </r>
  <r>
    <s v="2025-04-15"/>
    <x v="3"/>
    <x v="1"/>
    <x v="0"/>
    <x v="1"/>
    <x v="0"/>
    <n v="5"/>
    <n v="12000"/>
    <n v="60000"/>
    <x v="0"/>
  </r>
  <r>
    <s v="2025-04-19"/>
    <x v="6"/>
    <x v="1"/>
    <x v="1"/>
    <x v="4"/>
    <x v="0"/>
    <n v="13"/>
    <n v="12000"/>
    <n v="156000"/>
    <x v="1"/>
  </r>
  <r>
    <s v="2025-05-30"/>
    <x v="0"/>
    <x v="2"/>
    <x v="0"/>
    <x v="2"/>
    <x v="0"/>
    <n v="18"/>
    <n v="15000"/>
    <n v="270000"/>
    <x v="0"/>
  </r>
  <r>
    <s v="2025-05-22"/>
    <x v="4"/>
    <x v="2"/>
    <x v="0"/>
    <x v="2"/>
    <x v="0"/>
    <n v="16"/>
    <n v="12000"/>
    <n v="192000"/>
    <x v="0"/>
  </r>
  <r>
    <s v="2025-05-25"/>
    <x v="5"/>
    <x v="2"/>
    <x v="1"/>
    <x v="2"/>
    <x v="0"/>
    <n v="12"/>
    <n v="18000"/>
    <n v="216000"/>
    <x v="0"/>
  </r>
  <r>
    <s v="2025-04-08"/>
    <x v="3"/>
    <x v="1"/>
    <x v="0"/>
    <x v="3"/>
    <x v="0"/>
    <n v="15"/>
    <n v="18000"/>
    <n v="270000"/>
    <x v="2"/>
  </r>
  <r>
    <s v="2025-04-11"/>
    <x v="0"/>
    <x v="1"/>
    <x v="0"/>
    <x v="2"/>
    <x v="0"/>
    <n v="12"/>
    <n v="18000"/>
    <n v="216000"/>
    <x v="1"/>
  </r>
  <r>
    <s v="2025-06-09"/>
    <x v="2"/>
    <x v="0"/>
    <x v="0"/>
    <x v="0"/>
    <x v="0"/>
    <n v="7"/>
    <n v="18000"/>
    <n v="126000"/>
    <x v="0"/>
  </r>
  <r>
    <s v="2025-05-25"/>
    <x v="5"/>
    <x v="2"/>
    <x v="1"/>
    <x v="0"/>
    <x v="0"/>
    <n v="12"/>
    <n v="12000"/>
    <n v="144000"/>
    <x v="0"/>
  </r>
  <r>
    <s v="2025-06-07"/>
    <x v="6"/>
    <x v="0"/>
    <x v="1"/>
    <x v="2"/>
    <x v="0"/>
    <n v="5"/>
    <n v="12000"/>
    <n v="60000"/>
    <x v="3"/>
  </r>
  <r>
    <s v="2025-04-03"/>
    <x v="4"/>
    <x v="1"/>
    <x v="0"/>
    <x v="1"/>
    <x v="0"/>
    <n v="13"/>
    <n v="15000"/>
    <n v="195000"/>
    <x v="2"/>
  </r>
  <r>
    <s v="2025-04-23"/>
    <x v="1"/>
    <x v="1"/>
    <x v="0"/>
    <x v="2"/>
    <x v="0"/>
    <n v="2"/>
    <n v="15000"/>
    <n v="30000"/>
    <x v="1"/>
  </r>
  <r>
    <s v="2025-04-20"/>
    <x v="5"/>
    <x v="1"/>
    <x v="1"/>
    <x v="3"/>
    <x v="0"/>
    <n v="12"/>
    <n v="12000"/>
    <n v="144000"/>
    <x v="3"/>
  </r>
  <r>
    <s v="2025-04-17"/>
    <x v="4"/>
    <x v="1"/>
    <x v="0"/>
    <x v="1"/>
    <x v="0"/>
    <n v="8"/>
    <n v="12000"/>
    <n v="96000"/>
    <x v="0"/>
  </r>
  <r>
    <s v="2025-04-07"/>
    <x v="2"/>
    <x v="1"/>
    <x v="0"/>
    <x v="4"/>
    <x v="0"/>
    <n v="8"/>
    <n v="15000"/>
    <n v="120000"/>
    <x v="0"/>
  </r>
  <r>
    <s v="2025-05-11"/>
    <x v="5"/>
    <x v="2"/>
    <x v="1"/>
    <x v="3"/>
    <x v="0"/>
    <n v="16"/>
    <n v="18000"/>
    <n v="288000"/>
    <x v="2"/>
  </r>
  <r>
    <s v="2025-05-04"/>
    <x v="5"/>
    <x v="2"/>
    <x v="1"/>
    <x v="3"/>
    <x v="0"/>
    <n v="1"/>
    <n v="15000"/>
    <n v="15000"/>
    <x v="1"/>
  </r>
  <r>
    <s v="2025-05-13"/>
    <x v="3"/>
    <x v="2"/>
    <x v="0"/>
    <x v="4"/>
    <x v="0"/>
    <n v="19"/>
    <n v="12000"/>
    <n v="228000"/>
    <x v="0"/>
  </r>
  <r>
    <s v="2025-05-23"/>
    <x v="0"/>
    <x v="2"/>
    <x v="0"/>
    <x v="3"/>
    <x v="0"/>
    <n v="18"/>
    <n v="12000"/>
    <n v="216000"/>
    <x v="1"/>
  </r>
  <r>
    <s v="2025-06-17"/>
    <x v="3"/>
    <x v="0"/>
    <x v="0"/>
    <x v="1"/>
    <x v="0"/>
    <n v="20"/>
    <n v="18000"/>
    <n v="360000"/>
    <x v="3"/>
  </r>
  <r>
    <s v="2025-04-08"/>
    <x v="3"/>
    <x v="1"/>
    <x v="0"/>
    <x v="3"/>
    <x v="0"/>
    <n v="7"/>
    <n v="20000"/>
    <n v="140000"/>
    <x v="1"/>
  </r>
  <r>
    <s v="2025-06-16"/>
    <x v="2"/>
    <x v="0"/>
    <x v="0"/>
    <x v="0"/>
    <x v="0"/>
    <n v="13"/>
    <n v="12000"/>
    <n v="156000"/>
    <x v="1"/>
  </r>
  <r>
    <s v="2025-06-09"/>
    <x v="2"/>
    <x v="0"/>
    <x v="0"/>
    <x v="4"/>
    <x v="0"/>
    <n v="6"/>
    <n v="15000"/>
    <n v="90000"/>
    <x v="0"/>
  </r>
  <r>
    <s v="2025-05-19"/>
    <x v="2"/>
    <x v="2"/>
    <x v="0"/>
    <x v="1"/>
    <x v="0"/>
    <n v="5"/>
    <n v="15000"/>
    <n v="75000"/>
    <x v="2"/>
  </r>
  <r>
    <s v="2025-04-29"/>
    <x v="3"/>
    <x v="1"/>
    <x v="0"/>
    <x v="4"/>
    <x v="0"/>
    <n v="17"/>
    <n v="15000"/>
    <n v="255000"/>
    <x v="1"/>
  </r>
  <r>
    <s v="2025-05-23"/>
    <x v="0"/>
    <x v="2"/>
    <x v="0"/>
    <x v="0"/>
    <x v="0"/>
    <n v="16"/>
    <n v="15000"/>
    <n v="240000"/>
    <x v="0"/>
  </r>
  <r>
    <s v="2025-05-11"/>
    <x v="5"/>
    <x v="2"/>
    <x v="1"/>
    <x v="3"/>
    <x v="0"/>
    <n v="9"/>
    <n v="15000"/>
    <n v="135000"/>
    <x v="2"/>
  </r>
  <r>
    <s v="2025-06-06"/>
    <x v="0"/>
    <x v="0"/>
    <x v="0"/>
    <x v="4"/>
    <x v="0"/>
    <n v="5"/>
    <n v="15000"/>
    <n v="75000"/>
    <x v="2"/>
  </r>
  <r>
    <s v="2025-06-08"/>
    <x v="5"/>
    <x v="0"/>
    <x v="1"/>
    <x v="1"/>
    <x v="0"/>
    <n v="1"/>
    <n v="12000"/>
    <n v="12000"/>
    <x v="3"/>
  </r>
  <r>
    <s v="2025-04-15"/>
    <x v="3"/>
    <x v="1"/>
    <x v="0"/>
    <x v="0"/>
    <x v="0"/>
    <n v="5"/>
    <n v="12000"/>
    <n v="60000"/>
    <x v="1"/>
  </r>
  <r>
    <s v="2025-06-24"/>
    <x v="3"/>
    <x v="0"/>
    <x v="0"/>
    <x v="0"/>
    <x v="0"/>
    <n v="12"/>
    <n v="12000"/>
    <n v="144000"/>
    <x v="0"/>
  </r>
  <r>
    <s v="2025-04-17"/>
    <x v="4"/>
    <x v="1"/>
    <x v="0"/>
    <x v="1"/>
    <x v="0"/>
    <n v="20"/>
    <n v="12000"/>
    <n v="240000"/>
    <x v="2"/>
  </r>
  <r>
    <s v="2025-04-07"/>
    <x v="2"/>
    <x v="1"/>
    <x v="0"/>
    <x v="1"/>
    <x v="0"/>
    <n v="4"/>
    <n v="20000"/>
    <n v="80000"/>
    <x v="3"/>
  </r>
  <r>
    <s v="2025-04-18"/>
    <x v="0"/>
    <x v="1"/>
    <x v="0"/>
    <x v="3"/>
    <x v="0"/>
    <n v="4"/>
    <n v="20000"/>
    <n v="80000"/>
    <x v="3"/>
  </r>
  <r>
    <s v="2025-05-12"/>
    <x v="2"/>
    <x v="2"/>
    <x v="0"/>
    <x v="0"/>
    <x v="0"/>
    <n v="16"/>
    <n v="15000"/>
    <n v="240000"/>
    <x v="0"/>
  </r>
  <r>
    <s v="2025-04-22"/>
    <x v="3"/>
    <x v="1"/>
    <x v="0"/>
    <x v="2"/>
    <x v="0"/>
    <n v="4"/>
    <n v="15000"/>
    <n v="60000"/>
    <x v="3"/>
  </r>
  <r>
    <s v="2025-06-30"/>
    <x v="2"/>
    <x v="0"/>
    <x v="0"/>
    <x v="1"/>
    <x v="0"/>
    <n v="1"/>
    <n v="12000"/>
    <n v="12000"/>
    <x v="0"/>
  </r>
  <r>
    <s v="2025-04-10"/>
    <x v="4"/>
    <x v="1"/>
    <x v="0"/>
    <x v="3"/>
    <x v="0"/>
    <n v="8"/>
    <n v="15000"/>
    <n v="120000"/>
    <x v="1"/>
  </r>
  <r>
    <s v="2025-06-03"/>
    <x v="3"/>
    <x v="0"/>
    <x v="0"/>
    <x v="4"/>
    <x v="0"/>
    <n v="8"/>
    <n v="12000"/>
    <n v="96000"/>
    <x v="2"/>
  </r>
  <r>
    <s v="2025-04-25"/>
    <x v="0"/>
    <x v="1"/>
    <x v="0"/>
    <x v="1"/>
    <x v="0"/>
    <n v="20"/>
    <n v="12000"/>
    <n v="240000"/>
    <x v="1"/>
  </r>
  <r>
    <s v="2025-05-05"/>
    <x v="2"/>
    <x v="2"/>
    <x v="0"/>
    <x v="2"/>
    <x v="0"/>
    <n v="13"/>
    <n v="15000"/>
    <n v="195000"/>
    <x v="2"/>
  </r>
  <r>
    <s v="2025-05-26"/>
    <x v="2"/>
    <x v="2"/>
    <x v="0"/>
    <x v="2"/>
    <x v="0"/>
    <n v="3"/>
    <n v="18000"/>
    <n v="54000"/>
    <x v="0"/>
  </r>
  <r>
    <s v="2025-04-13"/>
    <x v="5"/>
    <x v="1"/>
    <x v="1"/>
    <x v="2"/>
    <x v="0"/>
    <n v="11"/>
    <n v="18000"/>
    <n v="198000"/>
    <x v="0"/>
  </r>
  <r>
    <s v="2025-05-26"/>
    <x v="2"/>
    <x v="2"/>
    <x v="0"/>
    <x v="0"/>
    <x v="0"/>
    <n v="14"/>
    <n v="20000"/>
    <n v="280000"/>
    <x v="2"/>
  </r>
  <r>
    <s v="2025-06-06"/>
    <x v="0"/>
    <x v="0"/>
    <x v="0"/>
    <x v="3"/>
    <x v="0"/>
    <n v="1"/>
    <n v="20000"/>
    <n v="20000"/>
    <x v="2"/>
  </r>
  <r>
    <s v="2025-06-19"/>
    <x v="4"/>
    <x v="0"/>
    <x v="0"/>
    <x v="1"/>
    <x v="0"/>
    <n v="9"/>
    <n v="12000"/>
    <n v="108000"/>
    <x v="2"/>
  </r>
  <r>
    <s v="2025-06-22"/>
    <x v="5"/>
    <x v="0"/>
    <x v="1"/>
    <x v="4"/>
    <x v="0"/>
    <n v="3"/>
    <n v="20000"/>
    <n v="60000"/>
    <x v="0"/>
  </r>
  <r>
    <s v="2025-06-06"/>
    <x v="0"/>
    <x v="0"/>
    <x v="0"/>
    <x v="2"/>
    <x v="0"/>
    <n v="1"/>
    <n v="18000"/>
    <n v="18000"/>
    <x v="2"/>
  </r>
  <r>
    <s v="2025-05-31"/>
    <x v="6"/>
    <x v="2"/>
    <x v="1"/>
    <x v="2"/>
    <x v="0"/>
    <n v="16"/>
    <n v="18000"/>
    <n v="288000"/>
    <x v="2"/>
  </r>
  <r>
    <s v="2025-04-17"/>
    <x v="4"/>
    <x v="1"/>
    <x v="0"/>
    <x v="1"/>
    <x v="0"/>
    <n v="1"/>
    <n v="12000"/>
    <n v="12000"/>
    <x v="1"/>
  </r>
  <r>
    <s v="2025-04-12"/>
    <x v="6"/>
    <x v="1"/>
    <x v="1"/>
    <x v="3"/>
    <x v="0"/>
    <n v="5"/>
    <n v="12000"/>
    <n v="60000"/>
    <x v="1"/>
  </r>
  <r>
    <s v="2025-06-01"/>
    <x v="5"/>
    <x v="0"/>
    <x v="1"/>
    <x v="0"/>
    <x v="0"/>
    <n v="5"/>
    <n v="20000"/>
    <n v="100000"/>
    <x v="2"/>
  </r>
  <r>
    <s v="2025-04-13"/>
    <x v="5"/>
    <x v="1"/>
    <x v="1"/>
    <x v="3"/>
    <x v="0"/>
    <n v="16"/>
    <n v="18000"/>
    <n v="288000"/>
    <x v="3"/>
  </r>
  <r>
    <s v="2025-05-17"/>
    <x v="6"/>
    <x v="2"/>
    <x v="1"/>
    <x v="0"/>
    <x v="0"/>
    <n v="1"/>
    <n v="15000"/>
    <n v="15000"/>
    <x v="2"/>
  </r>
  <r>
    <s v="2025-05-17"/>
    <x v="6"/>
    <x v="2"/>
    <x v="1"/>
    <x v="0"/>
    <x v="0"/>
    <n v="17"/>
    <n v="12000"/>
    <n v="204000"/>
    <x v="2"/>
  </r>
  <r>
    <s v="2025-04-08"/>
    <x v="3"/>
    <x v="1"/>
    <x v="0"/>
    <x v="2"/>
    <x v="0"/>
    <n v="16"/>
    <n v="20000"/>
    <n v="320000"/>
    <x v="1"/>
  </r>
  <r>
    <s v="2025-05-01"/>
    <x v="4"/>
    <x v="2"/>
    <x v="0"/>
    <x v="0"/>
    <x v="0"/>
    <n v="7"/>
    <n v="18000"/>
    <n v="126000"/>
    <x v="2"/>
  </r>
  <r>
    <s v="2025-04-15"/>
    <x v="3"/>
    <x v="1"/>
    <x v="0"/>
    <x v="0"/>
    <x v="0"/>
    <n v="8"/>
    <n v="18000"/>
    <n v="144000"/>
    <x v="0"/>
  </r>
  <r>
    <s v="2025-06-10"/>
    <x v="3"/>
    <x v="0"/>
    <x v="0"/>
    <x v="3"/>
    <x v="0"/>
    <n v="6"/>
    <n v="12000"/>
    <n v="72000"/>
    <x v="2"/>
  </r>
  <r>
    <s v="2025-04-27"/>
    <x v="5"/>
    <x v="1"/>
    <x v="1"/>
    <x v="2"/>
    <x v="0"/>
    <n v="6"/>
    <n v="15000"/>
    <n v="90000"/>
    <x v="3"/>
  </r>
  <r>
    <s v="2025-06-27"/>
    <x v="0"/>
    <x v="0"/>
    <x v="0"/>
    <x v="1"/>
    <x v="0"/>
    <n v="17"/>
    <n v="15000"/>
    <n v="255000"/>
    <x v="1"/>
  </r>
  <r>
    <s v="2025-05-25"/>
    <x v="5"/>
    <x v="2"/>
    <x v="1"/>
    <x v="4"/>
    <x v="0"/>
    <n v="18"/>
    <n v="18000"/>
    <n v="324000"/>
    <x v="2"/>
  </r>
  <r>
    <s v="2025-06-01"/>
    <x v="5"/>
    <x v="0"/>
    <x v="1"/>
    <x v="2"/>
    <x v="0"/>
    <n v="17"/>
    <n v="12000"/>
    <n v="204000"/>
    <x v="1"/>
  </r>
  <r>
    <s v="2025-05-16"/>
    <x v="0"/>
    <x v="2"/>
    <x v="0"/>
    <x v="4"/>
    <x v="0"/>
    <n v="12"/>
    <n v="20000"/>
    <n v="240000"/>
    <x v="0"/>
  </r>
  <r>
    <s v="2025-04-30"/>
    <x v="1"/>
    <x v="1"/>
    <x v="0"/>
    <x v="4"/>
    <x v="0"/>
    <n v="17"/>
    <n v="12000"/>
    <n v="204000"/>
    <x v="2"/>
  </r>
  <r>
    <s v="2025-06-08"/>
    <x v="5"/>
    <x v="0"/>
    <x v="1"/>
    <x v="1"/>
    <x v="0"/>
    <n v="9"/>
    <n v="12000"/>
    <n v="108000"/>
    <x v="0"/>
  </r>
  <r>
    <s v="2025-05-03"/>
    <x v="6"/>
    <x v="2"/>
    <x v="1"/>
    <x v="2"/>
    <x v="0"/>
    <n v="17"/>
    <n v="15000"/>
    <n v="255000"/>
    <x v="0"/>
  </r>
  <r>
    <s v="2025-04-12"/>
    <x v="6"/>
    <x v="1"/>
    <x v="1"/>
    <x v="1"/>
    <x v="0"/>
    <n v="16"/>
    <n v="12000"/>
    <n v="192000"/>
    <x v="2"/>
  </r>
  <r>
    <s v="2025-05-06"/>
    <x v="3"/>
    <x v="2"/>
    <x v="0"/>
    <x v="1"/>
    <x v="0"/>
    <n v="13"/>
    <n v="15000"/>
    <n v="195000"/>
    <x v="3"/>
  </r>
  <r>
    <s v="2025-06-21"/>
    <x v="6"/>
    <x v="0"/>
    <x v="1"/>
    <x v="0"/>
    <x v="0"/>
    <n v="13"/>
    <n v="18000"/>
    <n v="234000"/>
    <x v="2"/>
  </r>
  <r>
    <s v="2025-04-01"/>
    <x v="3"/>
    <x v="1"/>
    <x v="0"/>
    <x v="4"/>
    <x v="0"/>
    <n v="17"/>
    <n v="12000"/>
    <n v="204000"/>
    <x v="1"/>
  </r>
  <r>
    <s v="2025-05-22"/>
    <x v="4"/>
    <x v="2"/>
    <x v="0"/>
    <x v="3"/>
    <x v="0"/>
    <n v="5"/>
    <n v="15000"/>
    <n v="75000"/>
    <x v="0"/>
  </r>
  <r>
    <s v="2025-04-16"/>
    <x v="1"/>
    <x v="1"/>
    <x v="0"/>
    <x v="0"/>
    <x v="0"/>
    <n v="16"/>
    <n v="12000"/>
    <n v="192000"/>
    <x v="1"/>
  </r>
  <r>
    <s v="2025-05-23"/>
    <x v="0"/>
    <x v="2"/>
    <x v="0"/>
    <x v="1"/>
    <x v="0"/>
    <n v="7"/>
    <n v="18000"/>
    <n v="126000"/>
    <x v="3"/>
  </r>
  <r>
    <s v="2025-05-17"/>
    <x v="6"/>
    <x v="2"/>
    <x v="1"/>
    <x v="4"/>
    <x v="0"/>
    <n v="14"/>
    <n v="15000"/>
    <n v="210000"/>
    <x v="0"/>
  </r>
  <r>
    <s v="2025-05-18"/>
    <x v="5"/>
    <x v="2"/>
    <x v="1"/>
    <x v="4"/>
    <x v="0"/>
    <n v="19"/>
    <n v="12000"/>
    <n v="228000"/>
    <x v="0"/>
  </r>
  <r>
    <s v="2025-05-13"/>
    <x v="3"/>
    <x v="2"/>
    <x v="0"/>
    <x v="3"/>
    <x v="0"/>
    <n v="15"/>
    <n v="20000"/>
    <n v="300000"/>
    <x v="2"/>
  </r>
  <r>
    <s v="2025-05-09"/>
    <x v="0"/>
    <x v="2"/>
    <x v="0"/>
    <x v="4"/>
    <x v="0"/>
    <n v="5"/>
    <n v="12000"/>
    <n v="60000"/>
    <x v="0"/>
  </r>
  <r>
    <s v="2025-06-15"/>
    <x v="5"/>
    <x v="0"/>
    <x v="1"/>
    <x v="4"/>
    <x v="0"/>
    <n v="18"/>
    <n v="15000"/>
    <n v="270000"/>
    <x v="1"/>
  </r>
  <r>
    <s v="2025-06-05"/>
    <x v="4"/>
    <x v="0"/>
    <x v="0"/>
    <x v="2"/>
    <x v="0"/>
    <n v="7"/>
    <n v="15000"/>
    <n v="105000"/>
    <x v="0"/>
  </r>
  <r>
    <s v="2025-06-27"/>
    <x v="0"/>
    <x v="0"/>
    <x v="0"/>
    <x v="0"/>
    <x v="0"/>
    <n v="15"/>
    <n v="12000"/>
    <n v="180000"/>
    <x v="2"/>
  </r>
  <r>
    <s v="2025-05-02"/>
    <x v="0"/>
    <x v="2"/>
    <x v="0"/>
    <x v="4"/>
    <x v="0"/>
    <n v="16"/>
    <n v="15000"/>
    <n v="240000"/>
    <x v="2"/>
  </r>
  <r>
    <s v="2025-06-19"/>
    <x v="4"/>
    <x v="0"/>
    <x v="0"/>
    <x v="2"/>
    <x v="0"/>
    <n v="7"/>
    <n v="20000"/>
    <n v="140000"/>
    <x v="3"/>
  </r>
  <r>
    <s v="2025-04-05"/>
    <x v="6"/>
    <x v="1"/>
    <x v="1"/>
    <x v="0"/>
    <x v="0"/>
    <n v="17"/>
    <n v="20000"/>
    <n v="340000"/>
    <x v="2"/>
  </r>
  <r>
    <s v="2025-06-26"/>
    <x v="4"/>
    <x v="0"/>
    <x v="0"/>
    <x v="3"/>
    <x v="0"/>
    <n v="9"/>
    <n v="18000"/>
    <n v="162000"/>
    <x v="0"/>
  </r>
  <r>
    <s v="2025-04-25"/>
    <x v="0"/>
    <x v="1"/>
    <x v="0"/>
    <x v="2"/>
    <x v="0"/>
    <n v="9"/>
    <n v="15000"/>
    <n v="135000"/>
    <x v="2"/>
  </r>
  <r>
    <s v="2025-05-04"/>
    <x v="5"/>
    <x v="2"/>
    <x v="1"/>
    <x v="1"/>
    <x v="0"/>
    <n v="2"/>
    <n v="12000"/>
    <n v="24000"/>
    <x v="3"/>
  </r>
  <r>
    <s v="2025-06-25"/>
    <x v="1"/>
    <x v="0"/>
    <x v="0"/>
    <x v="2"/>
    <x v="0"/>
    <n v="2"/>
    <n v="12000"/>
    <n v="24000"/>
    <x v="2"/>
  </r>
  <r>
    <s v="2025-06-22"/>
    <x v="5"/>
    <x v="0"/>
    <x v="1"/>
    <x v="2"/>
    <x v="0"/>
    <n v="10"/>
    <n v="15000"/>
    <n v="150000"/>
    <x v="1"/>
  </r>
  <r>
    <s v="2025-06-27"/>
    <x v="0"/>
    <x v="0"/>
    <x v="0"/>
    <x v="1"/>
    <x v="0"/>
    <n v="2"/>
    <n v="15000"/>
    <n v="30000"/>
    <x v="0"/>
  </r>
  <r>
    <s v="2025-06-07"/>
    <x v="6"/>
    <x v="0"/>
    <x v="1"/>
    <x v="0"/>
    <x v="0"/>
    <n v="7"/>
    <n v="12000"/>
    <n v="84000"/>
    <x v="3"/>
  </r>
  <r>
    <s v="2025-06-30"/>
    <x v="2"/>
    <x v="0"/>
    <x v="0"/>
    <x v="1"/>
    <x v="0"/>
    <n v="1"/>
    <n v="12000"/>
    <n v="12000"/>
    <x v="2"/>
  </r>
  <r>
    <s v="2025-06-03"/>
    <x v="3"/>
    <x v="0"/>
    <x v="0"/>
    <x v="2"/>
    <x v="0"/>
    <n v="12"/>
    <n v="20000"/>
    <n v="240000"/>
    <x v="0"/>
  </r>
  <r>
    <s v="2025-06-05"/>
    <x v="4"/>
    <x v="0"/>
    <x v="0"/>
    <x v="4"/>
    <x v="0"/>
    <n v="16"/>
    <n v="12000"/>
    <n v="192000"/>
    <x v="0"/>
  </r>
  <r>
    <s v="2025-05-10"/>
    <x v="6"/>
    <x v="2"/>
    <x v="1"/>
    <x v="0"/>
    <x v="0"/>
    <n v="9"/>
    <n v="20000"/>
    <n v="180000"/>
    <x v="0"/>
  </r>
  <r>
    <s v="2025-05-27"/>
    <x v="3"/>
    <x v="2"/>
    <x v="0"/>
    <x v="3"/>
    <x v="0"/>
    <n v="14"/>
    <n v="12000"/>
    <n v="168000"/>
    <x v="3"/>
  </r>
  <r>
    <s v="2025-05-21"/>
    <x v="1"/>
    <x v="2"/>
    <x v="0"/>
    <x v="4"/>
    <x v="0"/>
    <n v="10"/>
    <n v="15000"/>
    <n v="150000"/>
    <x v="0"/>
  </r>
  <r>
    <s v="2025-05-08"/>
    <x v="4"/>
    <x v="2"/>
    <x v="0"/>
    <x v="1"/>
    <x v="0"/>
    <n v="19"/>
    <n v="18000"/>
    <n v="342000"/>
    <x v="2"/>
  </r>
  <r>
    <s v="2025-05-22"/>
    <x v="4"/>
    <x v="2"/>
    <x v="0"/>
    <x v="0"/>
    <x v="0"/>
    <n v="1"/>
    <n v="15000"/>
    <n v="15000"/>
    <x v="0"/>
  </r>
  <r>
    <s v="2025-06-08"/>
    <x v="5"/>
    <x v="0"/>
    <x v="1"/>
    <x v="1"/>
    <x v="0"/>
    <n v="10"/>
    <n v="15000"/>
    <n v="150000"/>
    <x v="0"/>
  </r>
  <r>
    <s v="2025-05-11"/>
    <x v="5"/>
    <x v="2"/>
    <x v="1"/>
    <x v="3"/>
    <x v="0"/>
    <n v="20"/>
    <n v="15000"/>
    <n v="300000"/>
    <x v="1"/>
  </r>
  <r>
    <s v="2025-04-01"/>
    <x v="3"/>
    <x v="1"/>
    <x v="0"/>
    <x v="1"/>
    <x v="0"/>
    <n v="8"/>
    <n v="18000"/>
    <n v="144000"/>
    <x v="0"/>
  </r>
  <r>
    <s v="2025-05-10"/>
    <x v="6"/>
    <x v="2"/>
    <x v="1"/>
    <x v="4"/>
    <x v="0"/>
    <n v="14"/>
    <n v="18000"/>
    <n v="252000"/>
    <x v="0"/>
  </r>
  <r>
    <s v="2025-06-04"/>
    <x v="1"/>
    <x v="0"/>
    <x v="0"/>
    <x v="3"/>
    <x v="0"/>
    <n v="9"/>
    <n v="12000"/>
    <n v="108000"/>
    <x v="3"/>
  </r>
  <r>
    <s v="2025-04-04"/>
    <x v="0"/>
    <x v="1"/>
    <x v="0"/>
    <x v="2"/>
    <x v="0"/>
    <n v="6"/>
    <n v="15000"/>
    <n v="90000"/>
    <x v="1"/>
  </r>
  <r>
    <s v="2025-05-18"/>
    <x v="5"/>
    <x v="2"/>
    <x v="1"/>
    <x v="3"/>
    <x v="0"/>
    <n v="13"/>
    <n v="15000"/>
    <n v="195000"/>
    <x v="1"/>
  </r>
  <r>
    <s v="2025-04-07"/>
    <x v="2"/>
    <x v="1"/>
    <x v="0"/>
    <x v="3"/>
    <x v="0"/>
    <n v="6"/>
    <n v="12000"/>
    <n v="72000"/>
    <x v="1"/>
  </r>
  <r>
    <s v="2025-04-21"/>
    <x v="2"/>
    <x v="1"/>
    <x v="0"/>
    <x v="1"/>
    <x v="0"/>
    <n v="7"/>
    <n v="18000"/>
    <n v="126000"/>
    <x v="1"/>
  </r>
  <r>
    <s v="2025-05-12"/>
    <x v="2"/>
    <x v="2"/>
    <x v="0"/>
    <x v="3"/>
    <x v="0"/>
    <n v="1"/>
    <n v="12000"/>
    <n v="12000"/>
    <x v="2"/>
  </r>
  <r>
    <s v="2025-04-15"/>
    <x v="3"/>
    <x v="1"/>
    <x v="0"/>
    <x v="3"/>
    <x v="0"/>
    <n v="15"/>
    <n v="20000"/>
    <n v="300000"/>
    <x v="1"/>
  </r>
  <r>
    <s v="2025-06-12"/>
    <x v="4"/>
    <x v="0"/>
    <x v="0"/>
    <x v="0"/>
    <x v="0"/>
    <n v="18"/>
    <n v="12000"/>
    <n v="216000"/>
    <x v="0"/>
  </r>
  <r>
    <s v="2025-06-16"/>
    <x v="2"/>
    <x v="0"/>
    <x v="0"/>
    <x v="4"/>
    <x v="0"/>
    <n v="2"/>
    <n v="12000"/>
    <n v="24000"/>
    <x v="0"/>
  </r>
  <r>
    <s v="2025-06-28"/>
    <x v="6"/>
    <x v="0"/>
    <x v="1"/>
    <x v="2"/>
    <x v="0"/>
    <n v="5"/>
    <n v="15000"/>
    <n v="75000"/>
    <x v="0"/>
  </r>
  <r>
    <s v="2025-05-25"/>
    <x v="5"/>
    <x v="2"/>
    <x v="1"/>
    <x v="4"/>
    <x v="0"/>
    <n v="1"/>
    <n v="15000"/>
    <n v="15000"/>
    <x v="0"/>
  </r>
  <r>
    <s v="2025-05-19"/>
    <x v="2"/>
    <x v="2"/>
    <x v="0"/>
    <x v="1"/>
    <x v="0"/>
    <n v="3"/>
    <n v="18000"/>
    <n v="54000"/>
    <x v="2"/>
  </r>
  <r>
    <s v="2025-06-02"/>
    <x v="2"/>
    <x v="0"/>
    <x v="0"/>
    <x v="3"/>
    <x v="0"/>
    <n v="1"/>
    <n v="20000"/>
    <n v="20000"/>
    <x v="2"/>
  </r>
  <r>
    <s v="2025-04-17"/>
    <x v="4"/>
    <x v="1"/>
    <x v="0"/>
    <x v="1"/>
    <x v="0"/>
    <n v="10"/>
    <n v="12000"/>
    <n v="120000"/>
    <x v="1"/>
  </r>
  <r>
    <s v="2025-05-24"/>
    <x v="6"/>
    <x v="2"/>
    <x v="1"/>
    <x v="1"/>
    <x v="0"/>
    <n v="1"/>
    <n v="12000"/>
    <n v="12000"/>
    <x v="0"/>
  </r>
  <r>
    <s v="2025-05-16"/>
    <x v="0"/>
    <x v="2"/>
    <x v="0"/>
    <x v="4"/>
    <x v="0"/>
    <n v="1"/>
    <n v="18000"/>
    <n v="18000"/>
    <x v="1"/>
  </r>
  <r>
    <s v="2025-05-31"/>
    <x v="6"/>
    <x v="2"/>
    <x v="1"/>
    <x v="1"/>
    <x v="0"/>
    <n v="4"/>
    <n v="20000"/>
    <n v="80000"/>
    <x v="0"/>
  </r>
  <r>
    <s v="2025-05-08"/>
    <x v="4"/>
    <x v="2"/>
    <x v="0"/>
    <x v="4"/>
    <x v="0"/>
    <n v="9"/>
    <n v="20000"/>
    <n v="180000"/>
    <x v="2"/>
  </r>
  <r>
    <s v="2025-05-07"/>
    <x v="1"/>
    <x v="2"/>
    <x v="0"/>
    <x v="2"/>
    <x v="0"/>
    <n v="4"/>
    <n v="20000"/>
    <n v="80000"/>
    <x v="0"/>
  </r>
  <r>
    <s v="2025-06-16"/>
    <x v="2"/>
    <x v="0"/>
    <x v="0"/>
    <x v="3"/>
    <x v="0"/>
    <n v="11"/>
    <n v="20000"/>
    <n v="220000"/>
    <x v="2"/>
  </r>
  <r>
    <s v="2025-04-19"/>
    <x v="6"/>
    <x v="1"/>
    <x v="1"/>
    <x v="0"/>
    <x v="0"/>
    <n v="20"/>
    <n v="15000"/>
    <n v="300000"/>
    <x v="0"/>
  </r>
  <r>
    <s v="2025-06-02"/>
    <x v="2"/>
    <x v="0"/>
    <x v="0"/>
    <x v="1"/>
    <x v="0"/>
    <n v="11"/>
    <n v="20000"/>
    <n v="220000"/>
    <x v="3"/>
  </r>
  <r>
    <s v="2025-04-17"/>
    <x v="4"/>
    <x v="1"/>
    <x v="0"/>
    <x v="1"/>
    <x v="0"/>
    <n v="8"/>
    <n v="18000"/>
    <n v="144000"/>
    <x v="3"/>
  </r>
  <r>
    <s v="2025-05-13"/>
    <x v="3"/>
    <x v="2"/>
    <x v="0"/>
    <x v="4"/>
    <x v="0"/>
    <n v="9"/>
    <n v="15000"/>
    <n v="135000"/>
    <x v="0"/>
  </r>
  <r>
    <s v="2025-04-26"/>
    <x v="6"/>
    <x v="1"/>
    <x v="1"/>
    <x v="2"/>
    <x v="0"/>
    <n v="20"/>
    <n v="18000"/>
    <n v="360000"/>
    <x v="2"/>
  </r>
  <r>
    <s v="2025-06-01"/>
    <x v="5"/>
    <x v="0"/>
    <x v="1"/>
    <x v="0"/>
    <x v="0"/>
    <n v="4"/>
    <n v="18000"/>
    <n v="72000"/>
    <x v="0"/>
  </r>
  <r>
    <s v="2025-05-12"/>
    <x v="2"/>
    <x v="2"/>
    <x v="0"/>
    <x v="4"/>
    <x v="0"/>
    <n v="11"/>
    <n v="18000"/>
    <n v="198000"/>
    <x v="2"/>
  </r>
  <r>
    <s v="2025-05-31"/>
    <x v="6"/>
    <x v="2"/>
    <x v="1"/>
    <x v="0"/>
    <x v="0"/>
    <n v="15"/>
    <n v="15000"/>
    <n v="225000"/>
    <x v="2"/>
  </r>
  <r>
    <s v="2025-06-10"/>
    <x v="3"/>
    <x v="0"/>
    <x v="0"/>
    <x v="1"/>
    <x v="0"/>
    <n v="14"/>
    <n v="15000"/>
    <n v="210000"/>
    <x v="3"/>
  </r>
  <r>
    <s v="2025-05-10"/>
    <x v="6"/>
    <x v="2"/>
    <x v="1"/>
    <x v="1"/>
    <x v="0"/>
    <n v="5"/>
    <n v="18000"/>
    <n v="90000"/>
    <x v="2"/>
  </r>
  <r>
    <s v="2025-04-08"/>
    <x v="3"/>
    <x v="1"/>
    <x v="0"/>
    <x v="1"/>
    <x v="0"/>
    <n v="16"/>
    <n v="15000"/>
    <n v="240000"/>
    <x v="3"/>
  </r>
  <r>
    <s v="2025-04-26"/>
    <x v="6"/>
    <x v="1"/>
    <x v="1"/>
    <x v="4"/>
    <x v="0"/>
    <n v="6"/>
    <n v="12000"/>
    <n v="72000"/>
    <x v="0"/>
  </r>
  <r>
    <s v="2025-05-07"/>
    <x v="1"/>
    <x v="2"/>
    <x v="0"/>
    <x v="2"/>
    <x v="0"/>
    <n v="16"/>
    <n v="12000"/>
    <n v="192000"/>
    <x v="3"/>
  </r>
  <r>
    <s v="2025-04-30"/>
    <x v="1"/>
    <x v="1"/>
    <x v="0"/>
    <x v="3"/>
    <x v="0"/>
    <n v="11"/>
    <n v="12000"/>
    <n v="132000"/>
    <x v="1"/>
  </r>
  <r>
    <s v="2025-05-12"/>
    <x v="2"/>
    <x v="2"/>
    <x v="0"/>
    <x v="0"/>
    <x v="0"/>
    <n v="14"/>
    <n v="20000"/>
    <n v="280000"/>
    <x v="3"/>
  </r>
  <r>
    <s v="2025-05-24"/>
    <x v="6"/>
    <x v="2"/>
    <x v="1"/>
    <x v="2"/>
    <x v="0"/>
    <n v="11"/>
    <n v="18000"/>
    <n v="198000"/>
    <x v="0"/>
  </r>
  <r>
    <s v="2025-04-12"/>
    <x v="6"/>
    <x v="1"/>
    <x v="1"/>
    <x v="4"/>
    <x v="0"/>
    <n v="20"/>
    <n v="20000"/>
    <n v="400000"/>
    <x v="0"/>
  </r>
  <r>
    <s v="2025-06-07"/>
    <x v="6"/>
    <x v="0"/>
    <x v="1"/>
    <x v="0"/>
    <x v="0"/>
    <n v="11"/>
    <n v="12000"/>
    <n v="132000"/>
    <x v="0"/>
  </r>
  <r>
    <s v="2025-06-30"/>
    <x v="2"/>
    <x v="0"/>
    <x v="0"/>
    <x v="3"/>
    <x v="0"/>
    <n v="6"/>
    <n v="18000"/>
    <n v="108000"/>
    <x v="1"/>
  </r>
  <r>
    <s v="2025-05-11"/>
    <x v="5"/>
    <x v="2"/>
    <x v="1"/>
    <x v="2"/>
    <x v="0"/>
    <n v="15"/>
    <n v="15000"/>
    <n v="225000"/>
    <x v="0"/>
  </r>
  <r>
    <s v="2025-04-25"/>
    <x v="0"/>
    <x v="1"/>
    <x v="0"/>
    <x v="0"/>
    <x v="0"/>
    <n v="12"/>
    <n v="20000"/>
    <n v="240000"/>
    <x v="0"/>
  </r>
  <r>
    <s v="2025-06-29"/>
    <x v="5"/>
    <x v="0"/>
    <x v="1"/>
    <x v="4"/>
    <x v="0"/>
    <n v="17"/>
    <n v="15000"/>
    <n v="255000"/>
    <x v="1"/>
  </r>
  <r>
    <s v="2025-06-14"/>
    <x v="6"/>
    <x v="0"/>
    <x v="1"/>
    <x v="2"/>
    <x v="0"/>
    <n v="8"/>
    <n v="20000"/>
    <n v="160000"/>
    <x v="2"/>
  </r>
  <r>
    <s v="2025-06-20"/>
    <x v="0"/>
    <x v="0"/>
    <x v="0"/>
    <x v="3"/>
    <x v="0"/>
    <n v="13"/>
    <n v="18000"/>
    <n v="234000"/>
    <x v="0"/>
  </r>
  <r>
    <s v="2025-04-08"/>
    <x v="3"/>
    <x v="1"/>
    <x v="0"/>
    <x v="0"/>
    <x v="0"/>
    <n v="8"/>
    <n v="15000"/>
    <n v="120000"/>
    <x v="0"/>
  </r>
  <r>
    <s v="2025-04-07"/>
    <x v="2"/>
    <x v="1"/>
    <x v="0"/>
    <x v="0"/>
    <x v="0"/>
    <n v="15"/>
    <n v="12000"/>
    <n v="180000"/>
    <x v="1"/>
  </r>
  <r>
    <s v="2025-04-04"/>
    <x v="0"/>
    <x v="1"/>
    <x v="0"/>
    <x v="3"/>
    <x v="0"/>
    <n v="1"/>
    <n v="18000"/>
    <n v="18000"/>
    <x v="3"/>
  </r>
  <r>
    <s v="2025-05-05"/>
    <x v="2"/>
    <x v="2"/>
    <x v="0"/>
    <x v="4"/>
    <x v="0"/>
    <n v="1"/>
    <n v="15000"/>
    <n v="15000"/>
    <x v="2"/>
  </r>
  <r>
    <s v="2025-04-17"/>
    <x v="4"/>
    <x v="1"/>
    <x v="0"/>
    <x v="2"/>
    <x v="0"/>
    <n v="2"/>
    <n v="18000"/>
    <n v="36000"/>
    <x v="2"/>
  </r>
  <r>
    <s v="2025-06-25"/>
    <x v="1"/>
    <x v="0"/>
    <x v="0"/>
    <x v="2"/>
    <x v="0"/>
    <n v="12"/>
    <n v="12000"/>
    <n v="144000"/>
    <x v="0"/>
  </r>
  <r>
    <s v="2025-05-24"/>
    <x v="6"/>
    <x v="2"/>
    <x v="1"/>
    <x v="0"/>
    <x v="0"/>
    <n v="15"/>
    <n v="12000"/>
    <n v="180000"/>
    <x v="2"/>
  </r>
  <r>
    <s v="2025-06-05"/>
    <x v="4"/>
    <x v="0"/>
    <x v="0"/>
    <x v="0"/>
    <x v="0"/>
    <n v="6"/>
    <n v="15000"/>
    <n v="90000"/>
    <x v="0"/>
  </r>
  <r>
    <s v="2025-05-01"/>
    <x v="4"/>
    <x v="2"/>
    <x v="0"/>
    <x v="2"/>
    <x v="0"/>
    <n v="18"/>
    <n v="18000"/>
    <n v="324000"/>
    <x v="3"/>
  </r>
  <r>
    <s v="2025-04-09"/>
    <x v="1"/>
    <x v="1"/>
    <x v="0"/>
    <x v="1"/>
    <x v="0"/>
    <n v="4"/>
    <n v="18000"/>
    <n v="72000"/>
    <x v="0"/>
  </r>
  <r>
    <s v="2025-06-30"/>
    <x v="2"/>
    <x v="0"/>
    <x v="0"/>
    <x v="3"/>
    <x v="0"/>
    <n v="6"/>
    <n v="18000"/>
    <n v="108000"/>
    <x v="1"/>
  </r>
  <r>
    <s v="2025-04-24"/>
    <x v="4"/>
    <x v="1"/>
    <x v="0"/>
    <x v="4"/>
    <x v="0"/>
    <n v="1"/>
    <n v="15000"/>
    <n v="15000"/>
    <x v="1"/>
  </r>
  <r>
    <s v="2025-06-07"/>
    <x v="6"/>
    <x v="0"/>
    <x v="1"/>
    <x v="0"/>
    <x v="0"/>
    <n v="6"/>
    <n v="20000"/>
    <n v="120000"/>
    <x v="3"/>
  </r>
  <r>
    <s v="2025-05-07"/>
    <x v="1"/>
    <x v="2"/>
    <x v="0"/>
    <x v="4"/>
    <x v="0"/>
    <n v="17"/>
    <n v="18000"/>
    <n v="306000"/>
    <x v="0"/>
  </r>
  <r>
    <s v="2025-06-04"/>
    <x v="1"/>
    <x v="0"/>
    <x v="0"/>
    <x v="4"/>
    <x v="0"/>
    <n v="11"/>
    <n v="12000"/>
    <n v="132000"/>
    <x v="3"/>
  </r>
  <r>
    <s v="2025-04-15"/>
    <x v="3"/>
    <x v="1"/>
    <x v="0"/>
    <x v="2"/>
    <x v="0"/>
    <n v="19"/>
    <n v="20000"/>
    <n v="380000"/>
    <x v="3"/>
  </r>
  <r>
    <s v="2025-06-11"/>
    <x v="1"/>
    <x v="0"/>
    <x v="0"/>
    <x v="1"/>
    <x v="0"/>
    <n v="1"/>
    <n v="20000"/>
    <n v="20000"/>
    <x v="2"/>
  </r>
  <r>
    <s v="2025-06-23"/>
    <x v="2"/>
    <x v="0"/>
    <x v="0"/>
    <x v="2"/>
    <x v="0"/>
    <n v="20"/>
    <n v="18000"/>
    <n v="360000"/>
    <x v="2"/>
  </r>
  <r>
    <s v="2025-04-01"/>
    <x v="3"/>
    <x v="1"/>
    <x v="0"/>
    <x v="2"/>
    <x v="0"/>
    <n v="13"/>
    <n v="20000"/>
    <n v="260000"/>
    <x v="2"/>
  </r>
  <r>
    <s v="2025-06-19"/>
    <x v="4"/>
    <x v="0"/>
    <x v="0"/>
    <x v="3"/>
    <x v="0"/>
    <n v="11"/>
    <n v="20000"/>
    <n v="220000"/>
    <x v="1"/>
  </r>
  <r>
    <s v="2025-05-11"/>
    <x v="5"/>
    <x v="2"/>
    <x v="1"/>
    <x v="1"/>
    <x v="0"/>
    <n v="12"/>
    <n v="15000"/>
    <n v="180000"/>
    <x v="2"/>
  </r>
  <r>
    <s v="2025-04-02"/>
    <x v="1"/>
    <x v="1"/>
    <x v="0"/>
    <x v="4"/>
    <x v="0"/>
    <n v="6"/>
    <n v="18000"/>
    <n v="108000"/>
    <x v="1"/>
  </r>
  <r>
    <s v="2025-04-16"/>
    <x v="1"/>
    <x v="1"/>
    <x v="0"/>
    <x v="2"/>
    <x v="0"/>
    <n v="9"/>
    <n v="20000"/>
    <n v="180000"/>
    <x v="2"/>
  </r>
  <r>
    <s v="2025-06-17"/>
    <x v="3"/>
    <x v="0"/>
    <x v="0"/>
    <x v="3"/>
    <x v="0"/>
    <n v="5"/>
    <n v="12000"/>
    <n v="60000"/>
    <x v="1"/>
  </r>
  <r>
    <s v="2025-06-29"/>
    <x v="5"/>
    <x v="0"/>
    <x v="1"/>
    <x v="0"/>
    <x v="0"/>
    <n v="5"/>
    <n v="12000"/>
    <n v="60000"/>
    <x v="3"/>
  </r>
  <r>
    <s v="2025-05-04"/>
    <x v="5"/>
    <x v="2"/>
    <x v="1"/>
    <x v="1"/>
    <x v="0"/>
    <n v="6"/>
    <n v="20000"/>
    <n v="120000"/>
    <x v="0"/>
  </r>
  <r>
    <s v="2025-06-17"/>
    <x v="3"/>
    <x v="0"/>
    <x v="0"/>
    <x v="4"/>
    <x v="0"/>
    <n v="18"/>
    <n v="20000"/>
    <n v="360000"/>
    <x v="3"/>
  </r>
  <r>
    <s v="2025-05-07"/>
    <x v="1"/>
    <x v="2"/>
    <x v="0"/>
    <x v="4"/>
    <x v="0"/>
    <n v="20"/>
    <n v="12000"/>
    <n v="240000"/>
    <x v="1"/>
  </r>
  <r>
    <s v="2025-04-26"/>
    <x v="6"/>
    <x v="1"/>
    <x v="1"/>
    <x v="3"/>
    <x v="0"/>
    <n v="7"/>
    <n v="20000"/>
    <n v="140000"/>
    <x v="1"/>
  </r>
  <r>
    <s v="2025-06-09"/>
    <x v="2"/>
    <x v="0"/>
    <x v="0"/>
    <x v="1"/>
    <x v="0"/>
    <n v="12"/>
    <n v="12000"/>
    <n v="144000"/>
    <x v="0"/>
  </r>
  <r>
    <s v="2025-04-25"/>
    <x v="0"/>
    <x v="1"/>
    <x v="0"/>
    <x v="0"/>
    <x v="0"/>
    <n v="13"/>
    <n v="20000"/>
    <n v="260000"/>
    <x v="2"/>
  </r>
  <r>
    <s v="2025-05-13"/>
    <x v="3"/>
    <x v="2"/>
    <x v="0"/>
    <x v="3"/>
    <x v="0"/>
    <n v="13"/>
    <n v="18000"/>
    <n v="234000"/>
    <x v="0"/>
  </r>
  <r>
    <s v="2025-05-21"/>
    <x v="1"/>
    <x v="2"/>
    <x v="0"/>
    <x v="0"/>
    <x v="0"/>
    <n v="12"/>
    <n v="15000"/>
    <n v="180000"/>
    <x v="1"/>
  </r>
  <r>
    <s v="2025-04-22"/>
    <x v="3"/>
    <x v="1"/>
    <x v="0"/>
    <x v="4"/>
    <x v="0"/>
    <n v="9"/>
    <n v="20000"/>
    <n v="180000"/>
    <x v="3"/>
  </r>
  <r>
    <s v="2025-06-05"/>
    <x v="4"/>
    <x v="0"/>
    <x v="0"/>
    <x v="2"/>
    <x v="0"/>
    <n v="4"/>
    <n v="15000"/>
    <n v="60000"/>
    <x v="2"/>
  </r>
  <r>
    <s v="2025-05-07"/>
    <x v="1"/>
    <x v="2"/>
    <x v="0"/>
    <x v="3"/>
    <x v="0"/>
    <n v="5"/>
    <n v="20000"/>
    <n v="100000"/>
    <x v="0"/>
  </r>
  <r>
    <s v="2025-04-16"/>
    <x v="1"/>
    <x v="1"/>
    <x v="0"/>
    <x v="0"/>
    <x v="0"/>
    <n v="6"/>
    <n v="12000"/>
    <n v="72000"/>
    <x v="1"/>
  </r>
  <r>
    <s v="2025-04-19"/>
    <x v="6"/>
    <x v="1"/>
    <x v="1"/>
    <x v="1"/>
    <x v="0"/>
    <n v="12"/>
    <n v="18000"/>
    <n v="216000"/>
    <x v="0"/>
  </r>
  <r>
    <s v="2025-05-23"/>
    <x v="0"/>
    <x v="2"/>
    <x v="0"/>
    <x v="2"/>
    <x v="0"/>
    <n v="1"/>
    <n v="18000"/>
    <n v="18000"/>
    <x v="3"/>
  </r>
  <r>
    <s v="2025-05-20"/>
    <x v="3"/>
    <x v="2"/>
    <x v="0"/>
    <x v="1"/>
    <x v="0"/>
    <n v="13"/>
    <n v="15000"/>
    <n v="195000"/>
    <x v="1"/>
  </r>
  <r>
    <s v="2025-06-19"/>
    <x v="4"/>
    <x v="0"/>
    <x v="0"/>
    <x v="1"/>
    <x v="0"/>
    <n v="2"/>
    <n v="18000"/>
    <n v="36000"/>
    <x v="0"/>
  </r>
  <r>
    <s v="2025-06-20"/>
    <x v="0"/>
    <x v="0"/>
    <x v="0"/>
    <x v="4"/>
    <x v="0"/>
    <n v="2"/>
    <n v="15000"/>
    <n v="30000"/>
    <x v="3"/>
  </r>
  <r>
    <s v="2025-06-18"/>
    <x v="1"/>
    <x v="0"/>
    <x v="0"/>
    <x v="4"/>
    <x v="0"/>
    <n v="8"/>
    <n v="20000"/>
    <n v="160000"/>
    <x v="1"/>
  </r>
  <r>
    <s v="2025-04-25"/>
    <x v="0"/>
    <x v="1"/>
    <x v="0"/>
    <x v="3"/>
    <x v="0"/>
    <n v="8"/>
    <n v="12000"/>
    <n v="96000"/>
    <x v="2"/>
  </r>
  <r>
    <s v="2025-06-30"/>
    <x v="2"/>
    <x v="0"/>
    <x v="0"/>
    <x v="2"/>
    <x v="0"/>
    <n v="3"/>
    <n v="20000"/>
    <n v="60000"/>
    <x v="2"/>
  </r>
  <r>
    <s v="2025-04-14"/>
    <x v="2"/>
    <x v="1"/>
    <x v="0"/>
    <x v="0"/>
    <x v="0"/>
    <n v="3"/>
    <n v="15000"/>
    <n v="45000"/>
    <x v="0"/>
  </r>
  <r>
    <s v="2025-04-10"/>
    <x v="4"/>
    <x v="1"/>
    <x v="0"/>
    <x v="2"/>
    <x v="0"/>
    <n v="20"/>
    <n v="12000"/>
    <n v="240000"/>
    <x v="3"/>
  </r>
  <r>
    <s v="2025-04-09"/>
    <x v="1"/>
    <x v="1"/>
    <x v="0"/>
    <x v="0"/>
    <x v="0"/>
    <n v="1"/>
    <n v="18000"/>
    <n v="18000"/>
    <x v="3"/>
  </r>
  <r>
    <s v="2025-06-15"/>
    <x v="5"/>
    <x v="0"/>
    <x v="1"/>
    <x v="1"/>
    <x v="0"/>
    <n v="4"/>
    <n v="12000"/>
    <n v="48000"/>
    <x v="1"/>
  </r>
  <r>
    <s v="2025-06-06"/>
    <x v="0"/>
    <x v="0"/>
    <x v="0"/>
    <x v="1"/>
    <x v="0"/>
    <n v="16"/>
    <n v="15000"/>
    <n v="240000"/>
    <x v="3"/>
  </r>
  <r>
    <s v="2025-04-07"/>
    <x v="2"/>
    <x v="1"/>
    <x v="0"/>
    <x v="3"/>
    <x v="0"/>
    <n v="15"/>
    <n v="12000"/>
    <n v="180000"/>
    <x v="3"/>
  </r>
  <r>
    <s v="2025-06-10"/>
    <x v="3"/>
    <x v="0"/>
    <x v="0"/>
    <x v="2"/>
    <x v="0"/>
    <n v="20"/>
    <n v="18000"/>
    <n v="360000"/>
    <x v="3"/>
  </r>
  <r>
    <s v="2025-04-21"/>
    <x v="2"/>
    <x v="1"/>
    <x v="0"/>
    <x v="2"/>
    <x v="0"/>
    <n v="12"/>
    <n v="18000"/>
    <n v="216000"/>
    <x v="1"/>
  </r>
  <r>
    <s v="2025-06-15"/>
    <x v="5"/>
    <x v="0"/>
    <x v="1"/>
    <x v="1"/>
    <x v="0"/>
    <n v="18"/>
    <n v="15000"/>
    <n v="270000"/>
    <x v="3"/>
  </r>
  <r>
    <s v="2025-05-02"/>
    <x v="0"/>
    <x v="2"/>
    <x v="0"/>
    <x v="4"/>
    <x v="0"/>
    <n v="10"/>
    <n v="18000"/>
    <n v="180000"/>
    <x v="1"/>
  </r>
  <r>
    <s v="2025-06-22"/>
    <x v="5"/>
    <x v="0"/>
    <x v="1"/>
    <x v="0"/>
    <x v="0"/>
    <n v="6"/>
    <n v="15000"/>
    <n v="90000"/>
    <x v="3"/>
  </r>
  <r>
    <s v="2025-04-05"/>
    <x v="6"/>
    <x v="1"/>
    <x v="1"/>
    <x v="3"/>
    <x v="0"/>
    <n v="19"/>
    <n v="15000"/>
    <n v="285000"/>
    <x v="1"/>
  </r>
  <r>
    <s v="2025-04-26"/>
    <x v="6"/>
    <x v="1"/>
    <x v="1"/>
    <x v="3"/>
    <x v="0"/>
    <n v="2"/>
    <n v="12000"/>
    <n v="24000"/>
    <x v="2"/>
  </r>
  <r>
    <s v="2025-06-27"/>
    <x v="0"/>
    <x v="0"/>
    <x v="0"/>
    <x v="2"/>
    <x v="0"/>
    <n v="15"/>
    <n v="12000"/>
    <n v="180000"/>
    <x v="2"/>
  </r>
  <r>
    <s v="2025-04-30"/>
    <x v="1"/>
    <x v="1"/>
    <x v="0"/>
    <x v="3"/>
    <x v="0"/>
    <n v="20"/>
    <n v="15000"/>
    <n v="300000"/>
    <x v="0"/>
  </r>
  <r>
    <s v="2025-04-26"/>
    <x v="6"/>
    <x v="1"/>
    <x v="1"/>
    <x v="0"/>
    <x v="0"/>
    <n v="2"/>
    <n v="20000"/>
    <n v="40000"/>
    <x v="2"/>
  </r>
  <r>
    <s v="2025-06-03"/>
    <x v="3"/>
    <x v="0"/>
    <x v="0"/>
    <x v="4"/>
    <x v="0"/>
    <n v="14"/>
    <n v="18000"/>
    <n v="252000"/>
    <x v="2"/>
  </r>
  <r>
    <s v="2025-04-15"/>
    <x v="3"/>
    <x v="1"/>
    <x v="0"/>
    <x v="3"/>
    <x v="0"/>
    <n v="10"/>
    <n v="12000"/>
    <n v="120000"/>
    <x v="3"/>
  </r>
  <r>
    <s v="2025-04-15"/>
    <x v="3"/>
    <x v="1"/>
    <x v="0"/>
    <x v="0"/>
    <x v="0"/>
    <n v="18"/>
    <n v="18000"/>
    <n v="324000"/>
    <x v="1"/>
  </r>
  <r>
    <s v="2025-05-15"/>
    <x v="4"/>
    <x v="2"/>
    <x v="0"/>
    <x v="4"/>
    <x v="0"/>
    <n v="11"/>
    <n v="12000"/>
    <n v="132000"/>
    <x v="1"/>
  </r>
  <r>
    <s v="2025-04-25"/>
    <x v="0"/>
    <x v="1"/>
    <x v="0"/>
    <x v="3"/>
    <x v="0"/>
    <n v="2"/>
    <n v="18000"/>
    <n v="36000"/>
    <x v="2"/>
  </r>
  <r>
    <s v="2025-05-23"/>
    <x v="0"/>
    <x v="2"/>
    <x v="0"/>
    <x v="3"/>
    <x v="0"/>
    <n v="3"/>
    <n v="18000"/>
    <n v="54000"/>
    <x v="1"/>
  </r>
  <r>
    <s v="2025-04-10"/>
    <x v="4"/>
    <x v="1"/>
    <x v="0"/>
    <x v="1"/>
    <x v="0"/>
    <n v="11"/>
    <n v="18000"/>
    <n v="198000"/>
    <x v="3"/>
  </r>
  <r>
    <s v="2025-04-25"/>
    <x v="0"/>
    <x v="1"/>
    <x v="0"/>
    <x v="0"/>
    <x v="0"/>
    <n v="6"/>
    <n v="15000"/>
    <n v="90000"/>
    <x v="2"/>
  </r>
  <r>
    <s v="2025-06-02"/>
    <x v="2"/>
    <x v="0"/>
    <x v="0"/>
    <x v="4"/>
    <x v="0"/>
    <n v="14"/>
    <n v="20000"/>
    <n v="280000"/>
    <x v="2"/>
  </r>
  <r>
    <s v="2025-06-29"/>
    <x v="5"/>
    <x v="0"/>
    <x v="1"/>
    <x v="1"/>
    <x v="0"/>
    <n v="15"/>
    <n v="15000"/>
    <n v="225000"/>
    <x v="1"/>
  </r>
  <r>
    <s v="2025-06-11"/>
    <x v="1"/>
    <x v="0"/>
    <x v="0"/>
    <x v="2"/>
    <x v="0"/>
    <n v="10"/>
    <n v="15000"/>
    <n v="150000"/>
    <x v="1"/>
  </r>
  <r>
    <s v="2025-04-26"/>
    <x v="6"/>
    <x v="1"/>
    <x v="1"/>
    <x v="4"/>
    <x v="0"/>
    <n v="17"/>
    <n v="12000"/>
    <n v="204000"/>
    <x v="1"/>
  </r>
  <r>
    <s v="2025-04-15"/>
    <x v="3"/>
    <x v="1"/>
    <x v="0"/>
    <x v="3"/>
    <x v="0"/>
    <n v="13"/>
    <n v="12000"/>
    <n v="156000"/>
    <x v="3"/>
  </r>
  <r>
    <s v="2025-05-27"/>
    <x v="3"/>
    <x v="2"/>
    <x v="0"/>
    <x v="3"/>
    <x v="0"/>
    <n v="15"/>
    <n v="15000"/>
    <n v="225000"/>
    <x v="1"/>
  </r>
  <r>
    <s v="2025-06-12"/>
    <x v="4"/>
    <x v="0"/>
    <x v="0"/>
    <x v="2"/>
    <x v="0"/>
    <n v="2"/>
    <n v="18000"/>
    <n v="36000"/>
    <x v="3"/>
  </r>
  <r>
    <s v="2025-06-06"/>
    <x v="0"/>
    <x v="0"/>
    <x v="0"/>
    <x v="1"/>
    <x v="0"/>
    <n v="15"/>
    <n v="15000"/>
    <n v="225000"/>
    <x v="0"/>
  </r>
  <r>
    <s v="2025-04-10"/>
    <x v="4"/>
    <x v="1"/>
    <x v="0"/>
    <x v="4"/>
    <x v="0"/>
    <n v="9"/>
    <n v="12000"/>
    <n v="108000"/>
    <x v="0"/>
  </r>
  <r>
    <s v="2025-04-17"/>
    <x v="4"/>
    <x v="1"/>
    <x v="0"/>
    <x v="4"/>
    <x v="0"/>
    <n v="5"/>
    <n v="18000"/>
    <n v="90000"/>
    <x v="2"/>
  </r>
  <r>
    <s v="2025-05-10"/>
    <x v="6"/>
    <x v="2"/>
    <x v="1"/>
    <x v="0"/>
    <x v="0"/>
    <n v="2"/>
    <n v="20000"/>
    <n v="40000"/>
    <x v="3"/>
  </r>
  <r>
    <s v="2025-06-30"/>
    <x v="2"/>
    <x v="0"/>
    <x v="0"/>
    <x v="4"/>
    <x v="0"/>
    <n v="10"/>
    <n v="15000"/>
    <n v="150000"/>
    <x v="2"/>
  </r>
  <r>
    <s v="2025-04-09"/>
    <x v="1"/>
    <x v="1"/>
    <x v="0"/>
    <x v="3"/>
    <x v="0"/>
    <n v="8"/>
    <n v="15000"/>
    <n v="120000"/>
    <x v="3"/>
  </r>
  <r>
    <s v="2025-04-03"/>
    <x v="4"/>
    <x v="1"/>
    <x v="0"/>
    <x v="4"/>
    <x v="0"/>
    <n v="3"/>
    <n v="15000"/>
    <n v="45000"/>
    <x v="1"/>
  </r>
  <r>
    <s v="2025-05-10"/>
    <x v="6"/>
    <x v="2"/>
    <x v="1"/>
    <x v="4"/>
    <x v="0"/>
    <n v="9"/>
    <n v="12000"/>
    <n v="108000"/>
    <x v="2"/>
  </r>
  <r>
    <s v="2025-06-03"/>
    <x v="3"/>
    <x v="0"/>
    <x v="0"/>
    <x v="2"/>
    <x v="0"/>
    <n v="9"/>
    <n v="12000"/>
    <n v="108000"/>
    <x v="2"/>
  </r>
  <r>
    <s v="2025-05-23"/>
    <x v="0"/>
    <x v="2"/>
    <x v="0"/>
    <x v="1"/>
    <x v="0"/>
    <n v="6"/>
    <n v="12000"/>
    <n v="72000"/>
    <x v="3"/>
  </r>
  <r>
    <s v="2025-04-21"/>
    <x v="2"/>
    <x v="1"/>
    <x v="0"/>
    <x v="4"/>
    <x v="0"/>
    <n v="16"/>
    <n v="12000"/>
    <n v="192000"/>
    <x v="1"/>
  </r>
  <r>
    <s v="2025-05-09"/>
    <x v="0"/>
    <x v="2"/>
    <x v="0"/>
    <x v="4"/>
    <x v="0"/>
    <n v="13"/>
    <n v="12000"/>
    <n v="156000"/>
    <x v="0"/>
  </r>
  <r>
    <s v="2025-05-08"/>
    <x v="4"/>
    <x v="2"/>
    <x v="0"/>
    <x v="2"/>
    <x v="0"/>
    <n v="5"/>
    <n v="18000"/>
    <n v="90000"/>
    <x v="2"/>
  </r>
  <r>
    <s v="2025-04-23"/>
    <x v="1"/>
    <x v="1"/>
    <x v="0"/>
    <x v="4"/>
    <x v="0"/>
    <n v="12"/>
    <n v="12000"/>
    <n v="144000"/>
    <x v="3"/>
  </r>
  <r>
    <s v="2025-05-20"/>
    <x v="3"/>
    <x v="2"/>
    <x v="0"/>
    <x v="2"/>
    <x v="0"/>
    <n v="14"/>
    <n v="18000"/>
    <n v="252000"/>
    <x v="1"/>
  </r>
  <r>
    <s v="2025-05-10"/>
    <x v="6"/>
    <x v="2"/>
    <x v="1"/>
    <x v="0"/>
    <x v="0"/>
    <n v="12"/>
    <n v="12000"/>
    <n v="144000"/>
    <x v="1"/>
  </r>
  <r>
    <s v="2025-06-24"/>
    <x v="3"/>
    <x v="0"/>
    <x v="0"/>
    <x v="2"/>
    <x v="0"/>
    <n v="15"/>
    <n v="12000"/>
    <n v="180000"/>
    <x v="3"/>
  </r>
  <r>
    <s v="2025-05-02"/>
    <x v="0"/>
    <x v="2"/>
    <x v="0"/>
    <x v="0"/>
    <x v="0"/>
    <n v="11"/>
    <n v="18000"/>
    <n v="198000"/>
    <x v="3"/>
  </r>
  <r>
    <s v="2025-04-13"/>
    <x v="5"/>
    <x v="1"/>
    <x v="1"/>
    <x v="2"/>
    <x v="0"/>
    <n v="3"/>
    <n v="15000"/>
    <n v="45000"/>
    <x v="3"/>
  </r>
  <r>
    <s v="2025-04-11"/>
    <x v="0"/>
    <x v="1"/>
    <x v="0"/>
    <x v="2"/>
    <x v="0"/>
    <n v="8"/>
    <n v="15000"/>
    <n v="120000"/>
    <x v="2"/>
  </r>
  <r>
    <s v="2025-05-01"/>
    <x v="4"/>
    <x v="2"/>
    <x v="0"/>
    <x v="3"/>
    <x v="0"/>
    <n v="7"/>
    <n v="15000"/>
    <n v="105000"/>
    <x v="0"/>
  </r>
  <r>
    <s v="2025-06-24"/>
    <x v="3"/>
    <x v="0"/>
    <x v="0"/>
    <x v="3"/>
    <x v="0"/>
    <n v="11"/>
    <n v="20000"/>
    <n v="220000"/>
    <x v="0"/>
  </r>
  <r>
    <s v="2025-05-01"/>
    <x v="4"/>
    <x v="2"/>
    <x v="0"/>
    <x v="4"/>
    <x v="0"/>
    <n v="12"/>
    <n v="15000"/>
    <n v="180000"/>
    <x v="1"/>
  </r>
  <r>
    <s v="2025-05-06"/>
    <x v="3"/>
    <x v="2"/>
    <x v="0"/>
    <x v="0"/>
    <x v="0"/>
    <n v="9"/>
    <n v="12000"/>
    <n v="108000"/>
    <x v="1"/>
  </r>
  <r>
    <s v="2025-06-15"/>
    <x v="5"/>
    <x v="0"/>
    <x v="1"/>
    <x v="3"/>
    <x v="0"/>
    <n v="15"/>
    <n v="20000"/>
    <n v="300000"/>
    <x v="3"/>
  </r>
  <r>
    <s v="2025-06-14"/>
    <x v="6"/>
    <x v="0"/>
    <x v="1"/>
    <x v="1"/>
    <x v="0"/>
    <n v="6"/>
    <n v="18000"/>
    <n v="108000"/>
    <x v="0"/>
  </r>
  <r>
    <s v="2025-06-15"/>
    <x v="5"/>
    <x v="0"/>
    <x v="1"/>
    <x v="1"/>
    <x v="0"/>
    <n v="4"/>
    <n v="12000"/>
    <n v="48000"/>
    <x v="1"/>
  </r>
  <r>
    <s v="2025-04-11"/>
    <x v="0"/>
    <x v="1"/>
    <x v="0"/>
    <x v="2"/>
    <x v="0"/>
    <n v="2"/>
    <n v="12000"/>
    <n v="24000"/>
    <x v="1"/>
  </r>
  <r>
    <s v="2025-05-20"/>
    <x v="3"/>
    <x v="2"/>
    <x v="0"/>
    <x v="4"/>
    <x v="0"/>
    <n v="20"/>
    <n v="18000"/>
    <n v="360000"/>
    <x v="0"/>
  </r>
  <r>
    <s v="2025-06-13"/>
    <x v="0"/>
    <x v="0"/>
    <x v="0"/>
    <x v="4"/>
    <x v="0"/>
    <n v="9"/>
    <n v="18000"/>
    <n v="162000"/>
    <x v="3"/>
  </r>
  <r>
    <s v="2025-04-08"/>
    <x v="3"/>
    <x v="1"/>
    <x v="0"/>
    <x v="2"/>
    <x v="0"/>
    <n v="11"/>
    <n v="15000"/>
    <n v="165000"/>
    <x v="2"/>
  </r>
  <r>
    <s v="2025-04-29"/>
    <x v="3"/>
    <x v="1"/>
    <x v="0"/>
    <x v="1"/>
    <x v="0"/>
    <n v="16"/>
    <n v="15000"/>
    <n v="240000"/>
    <x v="2"/>
  </r>
  <r>
    <s v="2025-05-11"/>
    <x v="5"/>
    <x v="2"/>
    <x v="1"/>
    <x v="2"/>
    <x v="0"/>
    <n v="7"/>
    <n v="15000"/>
    <n v="105000"/>
    <x v="1"/>
  </r>
  <r>
    <s v="2025-04-26"/>
    <x v="6"/>
    <x v="1"/>
    <x v="1"/>
    <x v="0"/>
    <x v="0"/>
    <n v="19"/>
    <n v="12000"/>
    <n v="228000"/>
    <x v="2"/>
  </r>
  <r>
    <s v="2025-05-23"/>
    <x v="0"/>
    <x v="2"/>
    <x v="0"/>
    <x v="4"/>
    <x v="0"/>
    <n v="5"/>
    <n v="15000"/>
    <n v="75000"/>
    <x v="0"/>
  </r>
  <r>
    <s v="2025-05-23"/>
    <x v="0"/>
    <x v="2"/>
    <x v="0"/>
    <x v="2"/>
    <x v="0"/>
    <n v="3"/>
    <n v="18000"/>
    <n v="54000"/>
    <x v="1"/>
  </r>
  <r>
    <s v="2025-06-06"/>
    <x v="0"/>
    <x v="0"/>
    <x v="0"/>
    <x v="2"/>
    <x v="0"/>
    <n v="15"/>
    <n v="15000"/>
    <n v="225000"/>
    <x v="1"/>
  </r>
  <r>
    <s v="2025-05-29"/>
    <x v="4"/>
    <x v="2"/>
    <x v="0"/>
    <x v="1"/>
    <x v="0"/>
    <n v="7"/>
    <n v="18000"/>
    <n v="126000"/>
    <x v="1"/>
  </r>
  <r>
    <s v="2025-06-22"/>
    <x v="5"/>
    <x v="0"/>
    <x v="1"/>
    <x v="3"/>
    <x v="0"/>
    <n v="9"/>
    <n v="20000"/>
    <n v="180000"/>
    <x v="3"/>
  </r>
  <r>
    <s v="2025-04-05"/>
    <x v="6"/>
    <x v="1"/>
    <x v="1"/>
    <x v="2"/>
    <x v="0"/>
    <n v="5"/>
    <n v="15000"/>
    <n v="75000"/>
    <x v="3"/>
  </r>
  <r>
    <s v="2025-05-14"/>
    <x v="1"/>
    <x v="2"/>
    <x v="0"/>
    <x v="2"/>
    <x v="0"/>
    <n v="2"/>
    <n v="15000"/>
    <n v="30000"/>
    <x v="3"/>
  </r>
  <r>
    <s v="2025-05-01"/>
    <x v="4"/>
    <x v="2"/>
    <x v="0"/>
    <x v="1"/>
    <x v="0"/>
    <n v="19"/>
    <n v="12000"/>
    <n v="228000"/>
    <x v="1"/>
  </r>
  <r>
    <s v="2025-05-02"/>
    <x v="0"/>
    <x v="2"/>
    <x v="0"/>
    <x v="4"/>
    <x v="0"/>
    <n v="8"/>
    <n v="20000"/>
    <n v="160000"/>
    <x v="2"/>
  </r>
  <r>
    <s v="2025-04-30"/>
    <x v="1"/>
    <x v="1"/>
    <x v="0"/>
    <x v="4"/>
    <x v="0"/>
    <n v="13"/>
    <n v="15000"/>
    <n v="195000"/>
    <x v="1"/>
  </r>
  <r>
    <s v="2025-06-07"/>
    <x v="6"/>
    <x v="0"/>
    <x v="1"/>
    <x v="3"/>
    <x v="0"/>
    <n v="7"/>
    <n v="20000"/>
    <n v="140000"/>
    <x v="1"/>
  </r>
  <r>
    <s v="2025-05-18"/>
    <x v="5"/>
    <x v="2"/>
    <x v="1"/>
    <x v="0"/>
    <x v="0"/>
    <n v="10"/>
    <n v="18000"/>
    <n v="180000"/>
    <x v="2"/>
  </r>
  <r>
    <s v="2025-04-17"/>
    <x v="4"/>
    <x v="1"/>
    <x v="0"/>
    <x v="4"/>
    <x v="0"/>
    <n v="11"/>
    <n v="20000"/>
    <n v="220000"/>
    <x v="2"/>
  </r>
  <r>
    <s v="2025-04-27"/>
    <x v="5"/>
    <x v="1"/>
    <x v="1"/>
    <x v="1"/>
    <x v="0"/>
    <n v="15"/>
    <n v="18000"/>
    <n v="270000"/>
    <x v="3"/>
  </r>
  <r>
    <s v="2025-05-20"/>
    <x v="3"/>
    <x v="2"/>
    <x v="0"/>
    <x v="2"/>
    <x v="0"/>
    <n v="16"/>
    <n v="20000"/>
    <n v="320000"/>
    <x v="1"/>
  </r>
  <r>
    <s v="2025-04-05"/>
    <x v="6"/>
    <x v="1"/>
    <x v="1"/>
    <x v="0"/>
    <x v="0"/>
    <n v="3"/>
    <n v="12000"/>
    <n v="36000"/>
    <x v="1"/>
  </r>
  <r>
    <s v="2025-05-02"/>
    <x v="0"/>
    <x v="2"/>
    <x v="0"/>
    <x v="3"/>
    <x v="0"/>
    <n v="11"/>
    <n v="12000"/>
    <n v="132000"/>
    <x v="1"/>
  </r>
  <r>
    <s v="2025-05-21"/>
    <x v="1"/>
    <x v="2"/>
    <x v="0"/>
    <x v="1"/>
    <x v="0"/>
    <n v="3"/>
    <n v="15000"/>
    <n v="45000"/>
    <x v="3"/>
  </r>
  <r>
    <s v="2025-04-09"/>
    <x v="1"/>
    <x v="1"/>
    <x v="0"/>
    <x v="0"/>
    <x v="0"/>
    <n v="16"/>
    <n v="20000"/>
    <n v="320000"/>
    <x v="3"/>
  </r>
  <r>
    <s v="2025-06-28"/>
    <x v="6"/>
    <x v="0"/>
    <x v="1"/>
    <x v="2"/>
    <x v="0"/>
    <n v="11"/>
    <n v="12000"/>
    <n v="132000"/>
    <x v="0"/>
  </r>
  <r>
    <s v="2025-06-08"/>
    <x v="5"/>
    <x v="0"/>
    <x v="1"/>
    <x v="1"/>
    <x v="0"/>
    <n v="6"/>
    <n v="12000"/>
    <n v="72000"/>
    <x v="1"/>
  </r>
  <r>
    <s v="2025-06-27"/>
    <x v="0"/>
    <x v="0"/>
    <x v="0"/>
    <x v="2"/>
    <x v="0"/>
    <n v="6"/>
    <n v="20000"/>
    <n v="120000"/>
    <x v="0"/>
  </r>
  <r>
    <s v="2025-04-30"/>
    <x v="1"/>
    <x v="1"/>
    <x v="0"/>
    <x v="1"/>
    <x v="0"/>
    <n v="16"/>
    <n v="18000"/>
    <n v="288000"/>
    <x v="3"/>
  </r>
  <r>
    <s v="2025-04-29"/>
    <x v="3"/>
    <x v="1"/>
    <x v="0"/>
    <x v="3"/>
    <x v="0"/>
    <n v="7"/>
    <n v="18000"/>
    <n v="126000"/>
    <x v="0"/>
  </r>
  <r>
    <s v="2025-05-17"/>
    <x v="6"/>
    <x v="2"/>
    <x v="1"/>
    <x v="0"/>
    <x v="0"/>
    <n v="15"/>
    <n v="12000"/>
    <n v="180000"/>
    <x v="3"/>
  </r>
  <r>
    <s v="2025-05-25"/>
    <x v="5"/>
    <x v="2"/>
    <x v="1"/>
    <x v="2"/>
    <x v="0"/>
    <n v="14"/>
    <n v="20000"/>
    <n v="280000"/>
    <x v="2"/>
  </r>
  <r>
    <s v="2025-05-07"/>
    <x v="1"/>
    <x v="2"/>
    <x v="0"/>
    <x v="4"/>
    <x v="0"/>
    <n v="18"/>
    <n v="15000"/>
    <n v="270000"/>
    <x v="3"/>
  </r>
  <r>
    <s v="2025-05-05"/>
    <x v="2"/>
    <x v="2"/>
    <x v="0"/>
    <x v="2"/>
    <x v="0"/>
    <n v="4"/>
    <n v="12000"/>
    <n v="48000"/>
    <x v="1"/>
  </r>
  <r>
    <s v="2025-06-11"/>
    <x v="1"/>
    <x v="0"/>
    <x v="0"/>
    <x v="0"/>
    <x v="0"/>
    <n v="12"/>
    <n v="15000"/>
    <n v="180000"/>
    <x v="2"/>
  </r>
  <r>
    <s v="2025-06-09"/>
    <x v="2"/>
    <x v="0"/>
    <x v="0"/>
    <x v="3"/>
    <x v="0"/>
    <n v="5"/>
    <n v="15000"/>
    <n v="75000"/>
    <x v="1"/>
  </r>
  <r>
    <s v="2025-04-03"/>
    <x v="4"/>
    <x v="1"/>
    <x v="0"/>
    <x v="0"/>
    <x v="0"/>
    <n v="9"/>
    <n v="20000"/>
    <n v="180000"/>
    <x v="3"/>
  </r>
  <r>
    <s v="2025-06-18"/>
    <x v="1"/>
    <x v="0"/>
    <x v="0"/>
    <x v="0"/>
    <x v="0"/>
    <n v="3"/>
    <n v="12000"/>
    <n v="36000"/>
    <x v="1"/>
  </r>
  <r>
    <s v="2025-04-04"/>
    <x v="0"/>
    <x v="1"/>
    <x v="0"/>
    <x v="0"/>
    <x v="0"/>
    <n v="3"/>
    <n v="15000"/>
    <n v="45000"/>
    <x v="3"/>
  </r>
  <r>
    <s v="2025-04-26"/>
    <x v="6"/>
    <x v="1"/>
    <x v="1"/>
    <x v="4"/>
    <x v="0"/>
    <n v="17"/>
    <n v="15000"/>
    <n v="255000"/>
    <x v="2"/>
  </r>
  <r>
    <s v="2025-06-04"/>
    <x v="1"/>
    <x v="0"/>
    <x v="0"/>
    <x v="1"/>
    <x v="0"/>
    <n v="12"/>
    <n v="20000"/>
    <n v="240000"/>
    <x v="3"/>
  </r>
  <r>
    <s v="2025-04-08"/>
    <x v="3"/>
    <x v="1"/>
    <x v="0"/>
    <x v="4"/>
    <x v="0"/>
    <n v="5"/>
    <n v="12000"/>
    <n v="60000"/>
    <x v="2"/>
  </r>
  <r>
    <s v="2025-06-21"/>
    <x v="6"/>
    <x v="0"/>
    <x v="1"/>
    <x v="0"/>
    <x v="0"/>
    <n v="7"/>
    <n v="12000"/>
    <n v="84000"/>
    <x v="0"/>
  </r>
  <r>
    <s v="2025-04-15"/>
    <x v="3"/>
    <x v="1"/>
    <x v="0"/>
    <x v="2"/>
    <x v="0"/>
    <n v="20"/>
    <n v="15000"/>
    <n v="300000"/>
    <x v="1"/>
  </r>
  <r>
    <s v="2025-04-12"/>
    <x v="6"/>
    <x v="1"/>
    <x v="1"/>
    <x v="3"/>
    <x v="0"/>
    <n v="5"/>
    <n v="12000"/>
    <n v="60000"/>
    <x v="1"/>
  </r>
  <r>
    <s v="2025-06-12"/>
    <x v="4"/>
    <x v="0"/>
    <x v="0"/>
    <x v="1"/>
    <x v="0"/>
    <n v="4"/>
    <n v="18000"/>
    <n v="72000"/>
    <x v="1"/>
  </r>
  <r>
    <s v="2025-05-30"/>
    <x v="0"/>
    <x v="2"/>
    <x v="0"/>
    <x v="1"/>
    <x v="0"/>
    <n v="7"/>
    <n v="18000"/>
    <n v="126000"/>
    <x v="1"/>
  </r>
  <r>
    <s v="2025-04-26"/>
    <x v="6"/>
    <x v="1"/>
    <x v="1"/>
    <x v="4"/>
    <x v="0"/>
    <n v="1"/>
    <n v="15000"/>
    <n v="15000"/>
    <x v="2"/>
  </r>
  <r>
    <s v="2025-06-15"/>
    <x v="5"/>
    <x v="0"/>
    <x v="1"/>
    <x v="2"/>
    <x v="0"/>
    <n v="9"/>
    <n v="15000"/>
    <n v="135000"/>
    <x v="3"/>
  </r>
  <r>
    <s v="2025-06-22"/>
    <x v="5"/>
    <x v="0"/>
    <x v="1"/>
    <x v="1"/>
    <x v="0"/>
    <n v="1"/>
    <n v="20000"/>
    <n v="20000"/>
    <x v="2"/>
  </r>
  <r>
    <s v="2025-06-01"/>
    <x v="5"/>
    <x v="0"/>
    <x v="1"/>
    <x v="0"/>
    <x v="0"/>
    <n v="5"/>
    <n v="12000"/>
    <n v="60000"/>
    <x v="2"/>
  </r>
  <r>
    <s v="2025-04-14"/>
    <x v="2"/>
    <x v="1"/>
    <x v="0"/>
    <x v="3"/>
    <x v="0"/>
    <n v="11"/>
    <n v="20000"/>
    <n v="220000"/>
    <x v="1"/>
  </r>
  <r>
    <s v="2025-04-02"/>
    <x v="1"/>
    <x v="1"/>
    <x v="0"/>
    <x v="1"/>
    <x v="0"/>
    <n v="19"/>
    <n v="20000"/>
    <n v="380000"/>
    <x v="1"/>
  </r>
  <r>
    <s v="2025-06-15"/>
    <x v="5"/>
    <x v="0"/>
    <x v="1"/>
    <x v="0"/>
    <x v="0"/>
    <n v="13"/>
    <n v="12000"/>
    <n v="156000"/>
    <x v="1"/>
  </r>
  <r>
    <s v="2025-05-22"/>
    <x v="4"/>
    <x v="2"/>
    <x v="0"/>
    <x v="2"/>
    <x v="0"/>
    <n v="8"/>
    <n v="15000"/>
    <n v="120000"/>
    <x v="0"/>
  </r>
  <r>
    <s v="2025-05-02"/>
    <x v="0"/>
    <x v="2"/>
    <x v="0"/>
    <x v="4"/>
    <x v="0"/>
    <n v="8"/>
    <n v="18000"/>
    <n v="144000"/>
    <x v="0"/>
  </r>
  <r>
    <s v="2025-06-25"/>
    <x v="1"/>
    <x v="0"/>
    <x v="0"/>
    <x v="4"/>
    <x v="0"/>
    <n v="16"/>
    <n v="15000"/>
    <n v="240000"/>
    <x v="3"/>
  </r>
  <r>
    <s v="2025-05-03"/>
    <x v="6"/>
    <x v="2"/>
    <x v="1"/>
    <x v="4"/>
    <x v="0"/>
    <n v="6"/>
    <n v="15000"/>
    <n v="90000"/>
    <x v="2"/>
  </r>
  <r>
    <s v="2025-04-28"/>
    <x v="2"/>
    <x v="1"/>
    <x v="0"/>
    <x v="1"/>
    <x v="0"/>
    <n v="4"/>
    <n v="15000"/>
    <n v="60000"/>
    <x v="3"/>
  </r>
  <r>
    <s v="2025-06-17"/>
    <x v="3"/>
    <x v="0"/>
    <x v="0"/>
    <x v="1"/>
    <x v="0"/>
    <n v="19"/>
    <n v="15000"/>
    <n v="285000"/>
    <x v="2"/>
  </r>
  <r>
    <s v="2025-05-14"/>
    <x v="1"/>
    <x v="2"/>
    <x v="0"/>
    <x v="2"/>
    <x v="0"/>
    <n v="10"/>
    <n v="12000"/>
    <n v="120000"/>
    <x v="2"/>
  </r>
  <r>
    <s v="2025-06-07"/>
    <x v="6"/>
    <x v="0"/>
    <x v="1"/>
    <x v="2"/>
    <x v="0"/>
    <n v="2"/>
    <n v="15000"/>
    <n v="30000"/>
    <x v="1"/>
  </r>
  <r>
    <s v="2025-06-26"/>
    <x v="4"/>
    <x v="0"/>
    <x v="0"/>
    <x v="2"/>
    <x v="0"/>
    <n v="3"/>
    <n v="20000"/>
    <n v="60000"/>
    <x v="3"/>
  </r>
  <r>
    <s v="2025-05-17"/>
    <x v="6"/>
    <x v="2"/>
    <x v="1"/>
    <x v="1"/>
    <x v="0"/>
    <n v="10"/>
    <n v="12000"/>
    <n v="120000"/>
    <x v="0"/>
  </r>
  <r>
    <s v="2025-06-27"/>
    <x v="0"/>
    <x v="0"/>
    <x v="0"/>
    <x v="3"/>
    <x v="0"/>
    <n v="7"/>
    <n v="12000"/>
    <n v="84000"/>
    <x v="0"/>
  </r>
  <r>
    <s v="2025-06-17"/>
    <x v="3"/>
    <x v="0"/>
    <x v="0"/>
    <x v="1"/>
    <x v="0"/>
    <n v="6"/>
    <n v="18000"/>
    <n v="108000"/>
    <x v="2"/>
  </r>
  <r>
    <s v="2025-04-21"/>
    <x v="2"/>
    <x v="1"/>
    <x v="0"/>
    <x v="1"/>
    <x v="0"/>
    <n v="9"/>
    <n v="20000"/>
    <n v="180000"/>
    <x v="0"/>
  </r>
  <r>
    <s v="2025-04-21"/>
    <x v="2"/>
    <x v="1"/>
    <x v="0"/>
    <x v="2"/>
    <x v="0"/>
    <n v="5"/>
    <n v="18000"/>
    <n v="90000"/>
    <x v="0"/>
  </r>
  <r>
    <s v="2025-05-22"/>
    <x v="4"/>
    <x v="2"/>
    <x v="0"/>
    <x v="0"/>
    <x v="0"/>
    <n v="6"/>
    <n v="12000"/>
    <n v="72000"/>
    <x v="1"/>
  </r>
  <r>
    <s v="2025-04-05"/>
    <x v="6"/>
    <x v="1"/>
    <x v="1"/>
    <x v="3"/>
    <x v="0"/>
    <n v="2"/>
    <n v="18000"/>
    <n v="36000"/>
    <x v="1"/>
  </r>
  <r>
    <s v="2025-05-25"/>
    <x v="5"/>
    <x v="2"/>
    <x v="1"/>
    <x v="4"/>
    <x v="0"/>
    <n v="12"/>
    <n v="18000"/>
    <n v="216000"/>
    <x v="0"/>
  </r>
  <r>
    <s v="2025-05-02"/>
    <x v="0"/>
    <x v="2"/>
    <x v="0"/>
    <x v="0"/>
    <x v="0"/>
    <n v="16"/>
    <n v="20000"/>
    <n v="320000"/>
    <x v="0"/>
  </r>
  <r>
    <s v="2025-05-13"/>
    <x v="3"/>
    <x v="2"/>
    <x v="0"/>
    <x v="3"/>
    <x v="0"/>
    <n v="3"/>
    <n v="18000"/>
    <n v="54000"/>
    <x v="1"/>
  </r>
  <r>
    <s v="2025-06-03"/>
    <x v="3"/>
    <x v="0"/>
    <x v="0"/>
    <x v="4"/>
    <x v="0"/>
    <n v="8"/>
    <n v="18000"/>
    <n v="144000"/>
    <x v="3"/>
  </r>
  <r>
    <s v="2025-05-17"/>
    <x v="6"/>
    <x v="2"/>
    <x v="1"/>
    <x v="3"/>
    <x v="0"/>
    <n v="16"/>
    <n v="15000"/>
    <n v="240000"/>
    <x v="0"/>
  </r>
  <r>
    <s v="2025-04-27"/>
    <x v="5"/>
    <x v="1"/>
    <x v="1"/>
    <x v="0"/>
    <x v="0"/>
    <n v="6"/>
    <n v="18000"/>
    <n v="108000"/>
    <x v="1"/>
  </r>
  <r>
    <s v="2025-04-13"/>
    <x v="5"/>
    <x v="1"/>
    <x v="1"/>
    <x v="3"/>
    <x v="0"/>
    <n v="1"/>
    <n v="20000"/>
    <n v="20000"/>
    <x v="0"/>
  </r>
  <r>
    <s v="2025-05-16"/>
    <x v="0"/>
    <x v="2"/>
    <x v="0"/>
    <x v="2"/>
    <x v="0"/>
    <n v="18"/>
    <n v="18000"/>
    <n v="324000"/>
    <x v="2"/>
  </r>
  <r>
    <s v="2025-04-07"/>
    <x v="2"/>
    <x v="1"/>
    <x v="0"/>
    <x v="1"/>
    <x v="0"/>
    <n v="19"/>
    <n v="12000"/>
    <n v="228000"/>
    <x v="2"/>
  </r>
  <r>
    <s v="2025-04-22"/>
    <x v="3"/>
    <x v="1"/>
    <x v="0"/>
    <x v="2"/>
    <x v="0"/>
    <n v="17"/>
    <n v="18000"/>
    <n v="306000"/>
    <x v="0"/>
  </r>
  <r>
    <s v="2025-04-16"/>
    <x v="1"/>
    <x v="1"/>
    <x v="0"/>
    <x v="0"/>
    <x v="0"/>
    <n v="12"/>
    <n v="18000"/>
    <n v="216000"/>
    <x v="3"/>
  </r>
  <r>
    <s v="2025-05-16"/>
    <x v="0"/>
    <x v="2"/>
    <x v="0"/>
    <x v="3"/>
    <x v="0"/>
    <n v="13"/>
    <n v="18000"/>
    <n v="234000"/>
    <x v="2"/>
  </r>
  <r>
    <s v="2025-04-29"/>
    <x v="3"/>
    <x v="1"/>
    <x v="0"/>
    <x v="3"/>
    <x v="0"/>
    <n v="3"/>
    <n v="20000"/>
    <n v="60000"/>
    <x v="2"/>
  </r>
  <r>
    <s v="2025-04-19"/>
    <x v="6"/>
    <x v="1"/>
    <x v="1"/>
    <x v="1"/>
    <x v="0"/>
    <n v="7"/>
    <n v="18000"/>
    <n v="126000"/>
    <x v="0"/>
  </r>
  <r>
    <s v="2025-06-30"/>
    <x v="2"/>
    <x v="0"/>
    <x v="0"/>
    <x v="1"/>
    <x v="0"/>
    <n v="13"/>
    <n v="12000"/>
    <n v="156000"/>
    <x v="2"/>
  </r>
  <r>
    <s v="2025-05-13"/>
    <x v="3"/>
    <x v="2"/>
    <x v="0"/>
    <x v="0"/>
    <x v="0"/>
    <n v="19"/>
    <n v="20000"/>
    <n v="380000"/>
    <x v="1"/>
  </r>
  <r>
    <s v="2025-04-19"/>
    <x v="6"/>
    <x v="1"/>
    <x v="1"/>
    <x v="0"/>
    <x v="0"/>
    <n v="15"/>
    <n v="18000"/>
    <n v="270000"/>
    <x v="0"/>
  </r>
  <r>
    <s v="2025-05-15"/>
    <x v="4"/>
    <x v="2"/>
    <x v="0"/>
    <x v="1"/>
    <x v="0"/>
    <n v="9"/>
    <n v="12000"/>
    <n v="108000"/>
    <x v="1"/>
  </r>
  <r>
    <s v="2025-06-18"/>
    <x v="1"/>
    <x v="0"/>
    <x v="0"/>
    <x v="2"/>
    <x v="0"/>
    <n v="17"/>
    <n v="12000"/>
    <n v="204000"/>
    <x v="2"/>
  </r>
  <r>
    <s v="2025-05-16"/>
    <x v="0"/>
    <x v="2"/>
    <x v="0"/>
    <x v="3"/>
    <x v="0"/>
    <n v="20"/>
    <n v="20000"/>
    <n v="400000"/>
    <x v="1"/>
  </r>
  <r>
    <s v="2025-05-12"/>
    <x v="2"/>
    <x v="2"/>
    <x v="0"/>
    <x v="0"/>
    <x v="0"/>
    <n v="1"/>
    <n v="20000"/>
    <n v="20000"/>
    <x v="3"/>
  </r>
  <r>
    <s v="2025-06-21"/>
    <x v="6"/>
    <x v="0"/>
    <x v="1"/>
    <x v="2"/>
    <x v="0"/>
    <n v="19"/>
    <n v="12000"/>
    <n v="228000"/>
    <x v="3"/>
  </r>
  <r>
    <s v="2025-04-13"/>
    <x v="5"/>
    <x v="1"/>
    <x v="1"/>
    <x v="3"/>
    <x v="0"/>
    <n v="3"/>
    <n v="12000"/>
    <n v="36000"/>
    <x v="1"/>
  </r>
  <r>
    <s v="2025-06-27"/>
    <x v="0"/>
    <x v="0"/>
    <x v="0"/>
    <x v="4"/>
    <x v="0"/>
    <n v="12"/>
    <n v="15000"/>
    <n v="180000"/>
    <x v="0"/>
  </r>
  <r>
    <s v="2025-06-14"/>
    <x v="6"/>
    <x v="0"/>
    <x v="1"/>
    <x v="3"/>
    <x v="0"/>
    <n v="12"/>
    <n v="15000"/>
    <n v="180000"/>
    <x v="3"/>
  </r>
  <r>
    <s v="2025-05-14"/>
    <x v="1"/>
    <x v="2"/>
    <x v="0"/>
    <x v="1"/>
    <x v="0"/>
    <n v="17"/>
    <n v="20000"/>
    <n v="340000"/>
    <x v="3"/>
  </r>
  <r>
    <s v="2025-05-03"/>
    <x v="6"/>
    <x v="2"/>
    <x v="1"/>
    <x v="2"/>
    <x v="0"/>
    <n v="8"/>
    <n v="20000"/>
    <n v="160000"/>
    <x v="1"/>
  </r>
  <r>
    <s v="2025-04-26"/>
    <x v="6"/>
    <x v="1"/>
    <x v="1"/>
    <x v="4"/>
    <x v="0"/>
    <n v="13"/>
    <n v="12000"/>
    <n v="156000"/>
    <x v="1"/>
  </r>
  <r>
    <s v="2025-05-16"/>
    <x v="0"/>
    <x v="2"/>
    <x v="0"/>
    <x v="0"/>
    <x v="0"/>
    <n v="18"/>
    <n v="20000"/>
    <n v="360000"/>
    <x v="0"/>
  </r>
  <r>
    <s v="2025-05-03"/>
    <x v="6"/>
    <x v="2"/>
    <x v="1"/>
    <x v="2"/>
    <x v="0"/>
    <n v="16"/>
    <n v="18000"/>
    <n v="288000"/>
    <x v="3"/>
  </r>
  <r>
    <s v="2025-06-12"/>
    <x v="4"/>
    <x v="0"/>
    <x v="0"/>
    <x v="3"/>
    <x v="0"/>
    <n v="4"/>
    <n v="15000"/>
    <n v="60000"/>
    <x v="1"/>
  </r>
  <r>
    <s v="2025-04-28"/>
    <x v="2"/>
    <x v="1"/>
    <x v="0"/>
    <x v="1"/>
    <x v="0"/>
    <n v="5"/>
    <n v="15000"/>
    <n v="75000"/>
    <x v="1"/>
  </r>
  <r>
    <s v="2025-05-11"/>
    <x v="5"/>
    <x v="2"/>
    <x v="1"/>
    <x v="3"/>
    <x v="0"/>
    <n v="4"/>
    <n v="12000"/>
    <n v="48000"/>
    <x v="1"/>
  </r>
  <r>
    <s v="2025-05-25"/>
    <x v="5"/>
    <x v="2"/>
    <x v="1"/>
    <x v="0"/>
    <x v="0"/>
    <n v="15"/>
    <n v="15000"/>
    <n v="225000"/>
    <x v="1"/>
  </r>
  <r>
    <s v="2025-05-23"/>
    <x v="0"/>
    <x v="2"/>
    <x v="0"/>
    <x v="2"/>
    <x v="0"/>
    <n v="10"/>
    <n v="20000"/>
    <n v="200000"/>
    <x v="3"/>
  </r>
  <r>
    <s v="2025-06-13"/>
    <x v="0"/>
    <x v="0"/>
    <x v="0"/>
    <x v="2"/>
    <x v="0"/>
    <n v="8"/>
    <n v="20000"/>
    <n v="160000"/>
    <x v="1"/>
  </r>
  <r>
    <s v="2025-04-23"/>
    <x v="1"/>
    <x v="1"/>
    <x v="0"/>
    <x v="2"/>
    <x v="0"/>
    <n v="9"/>
    <n v="15000"/>
    <n v="135000"/>
    <x v="0"/>
  </r>
  <r>
    <s v="2025-06-28"/>
    <x v="6"/>
    <x v="0"/>
    <x v="1"/>
    <x v="2"/>
    <x v="0"/>
    <n v="19"/>
    <n v="20000"/>
    <n v="380000"/>
    <x v="1"/>
  </r>
  <r>
    <s v="2025-04-20"/>
    <x v="5"/>
    <x v="1"/>
    <x v="1"/>
    <x v="0"/>
    <x v="0"/>
    <n v="15"/>
    <n v="18000"/>
    <n v="270000"/>
    <x v="1"/>
  </r>
  <r>
    <s v="2025-05-10"/>
    <x v="6"/>
    <x v="2"/>
    <x v="1"/>
    <x v="4"/>
    <x v="0"/>
    <n v="20"/>
    <n v="20000"/>
    <n v="400000"/>
    <x v="3"/>
  </r>
  <r>
    <s v="2025-04-22"/>
    <x v="3"/>
    <x v="1"/>
    <x v="0"/>
    <x v="3"/>
    <x v="0"/>
    <n v="6"/>
    <n v="20000"/>
    <n v="120000"/>
    <x v="0"/>
  </r>
  <r>
    <s v="2025-04-23"/>
    <x v="1"/>
    <x v="1"/>
    <x v="0"/>
    <x v="1"/>
    <x v="0"/>
    <n v="14"/>
    <n v="20000"/>
    <n v="280000"/>
    <x v="3"/>
  </r>
  <r>
    <s v="2025-05-20"/>
    <x v="3"/>
    <x v="2"/>
    <x v="0"/>
    <x v="0"/>
    <x v="0"/>
    <n v="8"/>
    <n v="12000"/>
    <n v="96000"/>
    <x v="3"/>
  </r>
  <r>
    <s v="2025-05-15"/>
    <x v="4"/>
    <x v="2"/>
    <x v="0"/>
    <x v="1"/>
    <x v="0"/>
    <n v="17"/>
    <n v="12000"/>
    <n v="204000"/>
    <x v="1"/>
  </r>
  <r>
    <s v="2025-05-12"/>
    <x v="2"/>
    <x v="2"/>
    <x v="0"/>
    <x v="3"/>
    <x v="0"/>
    <n v="4"/>
    <n v="15000"/>
    <n v="60000"/>
    <x v="2"/>
  </r>
  <r>
    <s v="2025-06-08"/>
    <x v="5"/>
    <x v="0"/>
    <x v="1"/>
    <x v="4"/>
    <x v="0"/>
    <n v="13"/>
    <n v="12000"/>
    <n v="156000"/>
    <x v="0"/>
  </r>
  <r>
    <s v="2025-05-02"/>
    <x v="0"/>
    <x v="2"/>
    <x v="0"/>
    <x v="3"/>
    <x v="0"/>
    <n v="16"/>
    <n v="12000"/>
    <n v="192000"/>
    <x v="1"/>
  </r>
  <r>
    <s v="2025-06-17"/>
    <x v="3"/>
    <x v="0"/>
    <x v="0"/>
    <x v="4"/>
    <x v="0"/>
    <n v="4"/>
    <n v="18000"/>
    <n v="72000"/>
    <x v="3"/>
  </r>
  <r>
    <s v="2025-06-10"/>
    <x v="3"/>
    <x v="0"/>
    <x v="0"/>
    <x v="2"/>
    <x v="0"/>
    <n v="12"/>
    <n v="20000"/>
    <n v="240000"/>
    <x v="0"/>
  </r>
  <r>
    <s v="2025-04-07"/>
    <x v="2"/>
    <x v="1"/>
    <x v="0"/>
    <x v="3"/>
    <x v="0"/>
    <n v="8"/>
    <n v="15000"/>
    <n v="120000"/>
    <x v="2"/>
  </r>
  <r>
    <s v="2025-04-03"/>
    <x v="4"/>
    <x v="1"/>
    <x v="0"/>
    <x v="0"/>
    <x v="0"/>
    <n v="3"/>
    <n v="12000"/>
    <n v="36000"/>
    <x v="2"/>
  </r>
  <r>
    <s v="2025-04-09"/>
    <x v="1"/>
    <x v="1"/>
    <x v="0"/>
    <x v="3"/>
    <x v="0"/>
    <n v="20"/>
    <n v="18000"/>
    <n v="360000"/>
    <x v="2"/>
  </r>
  <r>
    <s v="2025-06-01"/>
    <x v="5"/>
    <x v="0"/>
    <x v="1"/>
    <x v="2"/>
    <x v="0"/>
    <n v="16"/>
    <n v="15000"/>
    <n v="240000"/>
    <x v="0"/>
  </r>
  <r>
    <s v="2025-06-16"/>
    <x v="2"/>
    <x v="0"/>
    <x v="0"/>
    <x v="4"/>
    <x v="0"/>
    <n v="17"/>
    <n v="15000"/>
    <n v="255000"/>
    <x v="3"/>
  </r>
  <r>
    <s v="2025-04-29"/>
    <x v="3"/>
    <x v="1"/>
    <x v="0"/>
    <x v="0"/>
    <x v="0"/>
    <n v="11"/>
    <n v="12000"/>
    <n v="132000"/>
    <x v="0"/>
  </r>
  <r>
    <s v="2025-04-21"/>
    <x v="2"/>
    <x v="1"/>
    <x v="0"/>
    <x v="2"/>
    <x v="0"/>
    <n v="2"/>
    <n v="20000"/>
    <n v="40000"/>
    <x v="3"/>
  </r>
  <r>
    <s v="2025-06-23"/>
    <x v="2"/>
    <x v="0"/>
    <x v="0"/>
    <x v="2"/>
    <x v="0"/>
    <n v="5"/>
    <n v="15000"/>
    <n v="75000"/>
    <x v="1"/>
  </r>
  <r>
    <s v="2025-05-04"/>
    <x v="5"/>
    <x v="2"/>
    <x v="1"/>
    <x v="2"/>
    <x v="0"/>
    <n v="13"/>
    <n v="18000"/>
    <n v="234000"/>
    <x v="1"/>
  </r>
  <r>
    <s v="2025-05-17"/>
    <x v="6"/>
    <x v="2"/>
    <x v="1"/>
    <x v="3"/>
    <x v="0"/>
    <n v="1"/>
    <n v="12000"/>
    <n v="12000"/>
    <x v="0"/>
  </r>
  <r>
    <s v="2025-04-08"/>
    <x v="3"/>
    <x v="1"/>
    <x v="0"/>
    <x v="1"/>
    <x v="0"/>
    <n v="14"/>
    <n v="18000"/>
    <n v="252000"/>
    <x v="1"/>
  </r>
  <r>
    <s v="2025-05-14"/>
    <x v="1"/>
    <x v="2"/>
    <x v="0"/>
    <x v="3"/>
    <x v="0"/>
    <n v="17"/>
    <n v="18000"/>
    <n v="306000"/>
    <x v="0"/>
  </r>
  <r>
    <s v="2025-04-04"/>
    <x v="0"/>
    <x v="1"/>
    <x v="0"/>
    <x v="1"/>
    <x v="0"/>
    <n v="11"/>
    <n v="12000"/>
    <n v="132000"/>
    <x v="1"/>
  </r>
  <r>
    <s v="2025-06-29"/>
    <x v="5"/>
    <x v="0"/>
    <x v="1"/>
    <x v="2"/>
    <x v="0"/>
    <n v="14"/>
    <n v="20000"/>
    <n v="280000"/>
    <x v="2"/>
  </r>
  <r>
    <s v="2025-05-12"/>
    <x v="2"/>
    <x v="2"/>
    <x v="0"/>
    <x v="3"/>
    <x v="0"/>
    <n v="4"/>
    <n v="12000"/>
    <n v="48000"/>
    <x v="2"/>
  </r>
  <r>
    <s v="2025-06-15"/>
    <x v="5"/>
    <x v="0"/>
    <x v="1"/>
    <x v="4"/>
    <x v="0"/>
    <n v="6"/>
    <n v="18000"/>
    <n v="108000"/>
    <x v="2"/>
  </r>
  <r>
    <s v="2025-05-14"/>
    <x v="1"/>
    <x v="2"/>
    <x v="0"/>
    <x v="4"/>
    <x v="0"/>
    <n v="2"/>
    <n v="12000"/>
    <n v="24000"/>
    <x v="1"/>
  </r>
  <r>
    <s v="2025-05-10"/>
    <x v="6"/>
    <x v="2"/>
    <x v="1"/>
    <x v="1"/>
    <x v="0"/>
    <n v="14"/>
    <n v="15000"/>
    <n v="210000"/>
    <x v="2"/>
  </r>
  <r>
    <s v="2025-05-08"/>
    <x v="4"/>
    <x v="2"/>
    <x v="0"/>
    <x v="2"/>
    <x v="0"/>
    <n v="14"/>
    <n v="20000"/>
    <n v="280000"/>
    <x v="3"/>
  </r>
  <r>
    <s v="2025-04-06"/>
    <x v="5"/>
    <x v="1"/>
    <x v="1"/>
    <x v="0"/>
    <x v="0"/>
    <n v="20"/>
    <n v="20000"/>
    <n v="400000"/>
    <x v="0"/>
  </r>
  <r>
    <s v="2025-06-12"/>
    <x v="4"/>
    <x v="0"/>
    <x v="0"/>
    <x v="2"/>
    <x v="0"/>
    <n v="4"/>
    <n v="18000"/>
    <n v="72000"/>
    <x v="1"/>
  </r>
  <r>
    <s v="2025-04-13"/>
    <x v="5"/>
    <x v="1"/>
    <x v="1"/>
    <x v="4"/>
    <x v="0"/>
    <n v="16"/>
    <n v="12000"/>
    <n v="192000"/>
    <x v="2"/>
  </r>
  <r>
    <s v="2025-04-18"/>
    <x v="0"/>
    <x v="1"/>
    <x v="0"/>
    <x v="3"/>
    <x v="0"/>
    <n v="9"/>
    <n v="15000"/>
    <n v="135000"/>
    <x v="1"/>
  </r>
  <r>
    <s v="2025-05-16"/>
    <x v="0"/>
    <x v="2"/>
    <x v="0"/>
    <x v="0"/>
    <x v="0"/>
    <n v="8"/>
    <n v="18000"/>
    <n v="144000"/>
    <x v="2"/>
  </r>
  <r>
    <s v="2025-05-23"/>
    <x v="0"/>
    <x v="2"/>
    <x v="0"/>
    <x v="1"/>
    <x v="0"/>
    <n v="2"/>
    <n v="15000"/>
    <n v="30000"/>
    <x v="1"/>
  </r>
  <r>
    <s v="2025-06-08"/>
    <x v="5"/>
    <x v="0"/>
    <x v="1"/>
    <x v="0"/>
    <x v="0"/>
    <n v="13"/>
    <n v="15000"/>
    <n v="195000"/>
    <x v="1"/>
  </r>
  <r>
    <s v="2025-05-17"/>
    <x v="6"/>
    <x v="2"/>
    <x v="1"/>
    <x v="4"/>
    <x v="0"/>
    <n v="14"/>
    <n v="15000"/>
    <n v="210000"/>
    <x v="2"/>
  </r>
  <r>
    <s v="2025-05-23"/>
    <x v="0"/>
    <x v="2"/>
    <x v="0"/>
    <x v="2"/>
    <x v="0"/>
    <n v="10"/>
    <n v="18000"/>
    <n v="180000"/>
    <x v="0"/>
  </r>
  <r>
    <s v="2025-04-10"/>
    <x v="4"/>
    <x v="1"/>
    <x v="0"/>
    <x v="0"/>
    <x v="0"/>
    <n v="6"/>
    <n v="18000"/>
    <n v="108000"/>
    <x v="0"/>
  </r>
  <r>
    <s v="2025-04-03"/>
    <x v="4"/>
    <x v="1"/>
    <x v="0"/>
    <x v="3"/>
    <x v="0"/>
    <n v="4"/>
    <n v="12000"/>
    <n v="48000"/>
    <x v="1"/>
  </r>
  <r>
    <s v="2025-04-17"/>
    <x v="4"/>
    <x v="1"/>
    <x v="0"/>
    <x v="2"/>
    <x v="0"/>
    <n v="17"/>
    <n v="20000"/>
    <n v="340000"/>
    <x v="2"/>
  </r>
  <r>
    <s v="2025-06-25"/>
    <x v="1"/>
    <x v="0"/>
    <x v="0"/>
    <x v="3"/>
    <x v="0"/>
    <n v="7"/>
    <n v="12000"/>
    <n v="84000"/>
    <x v="1"/>
  </r>
  <r>
    <s v="2025-05-13"/>
    <x v="3"/>
    <x v="2"/>
    <x v="0"/>
    <x v="4"/>
    <x v="0"/>
    <n v="19"/>
    <n v="15000"/>
    <n v="285000"/>
    <x v="1"/>
  </r>
  <r>
    <s v="2025-05-27"/>
    <x v="3"/>
    <x v="2"/>
    <x v="0"/>
    <x v="1"/>
    <x v="0"/>
    <n v="8"/>
    <n v="15000"/>
    <n v="120000"/>
    <x v="3"/>
  </r>
  <r>
    <s v="2025-05-12"/>
    <x v="2"/>
    <x v="2"/>
    <x v="0"/>
    <x v="2"/>
    <x v="0"/>
    <n v="2"/>
    <n v="20000"/>
    <n v="40000"/>
    <x v="2"/>
  </r>
  <r>
    <s v="2025-04-25"/>
    <x v="0"/>
    <x v="1"/>
    <x v="0"/>
    <x v="0"/>
    <x v="0"/>
    <n v="14"/>
    <n v="12000"/>
    <n v="168000"/>
    <x v="0"/>
  </r>
  <r>
    <s v="2025-04-13"/>
    <x v="5"/>
    <x v="1"/>
    <x v="1"/>
    <x v="0"/>
    <x v="0"/>
    <n v="11"/>
    <n v="20000"/>
    <n v="220000"/>
    <x v="1"/>
  </r>
  <r>
    <s v="2025-04-05"/>
    <x v="6"/>
    <x v="1"/>
    <x v="1"/>
    <x v="0"/>
    <x v="0"/>
    <n v="4"/>
    <n v="20000"/>
    <n v="80000"/>
    <x v="3"/>
  </r>
  <r>
    <s v="2025-04-27"/>
    <x v="5"/>
    <x v="1"/>
    <x v="1"/>
    <x v="0"/>
    <x v="0"/>
    <n v="10"/>
    <n v="18000"/>
    <n v="180000"/>
    <x v="1"/>
  </r>
  <r>
    <s v="2025-05-15"/>
    <x v="4"/>
    <x v="2"/>
    <x v="0"/>
    <x v="3"/>
    <x v="0"/>
    <n v="8"/>
    <n v="18000"/>
    <n v="144000"/>
    <x v="2"/>
  </r>
  <r>
    <s v="2025-05-02"/>
    <x v="0"/>
    <x v="2"/>
    <x v="0"/>
    <x v="4"/>
    <x v="0"/>
    <n v="16"/>
    <n v="15000"/>
    <n v="240000"/>
    <x v="0"/>
  </r>
  <r>
    <s v="2025-05-06"/>
    <x v="3"/>
    <x v="2"/>
    <x v="0"/>
    <x v="2"/>
    <x v="0"/>
    <n v="1"/>
    <n v="15000"/>
    <n v="15000"/>
    <x v="3"/>
  </r>
  <r>
    <s v="2025-04-28"/>
    <x v="2"/>
    <x v="1"/>
    <x v="0"/>
    <x v="1"/>
    <x v="0"/>
    <n v="19"/>
    <n v="20000"/>
    <n v="380000"/>
    <x v="3"/>
  </r>
  <r>
    <s v="2025-06-12"/>
    <x v="4"/>
    <x v="0"/>
    <x v="0"/>
    <x v="4"/>
    <x v="0"/>
    <n v="16"/>
    <n v="15000"/>
    <n v="240000"/>
    <x v="3"/>
  </r>
  <r>
    <s v="2025-05-02"/>
    <x v="0"/>
    <x v="2"/>
    <x v="0"/>
    <x v="4"/>
    <x v="0"/>
    <n v="9"/>
    <n v="15000"/>
    <n v="135000"/>
    <x v="3"/>
  </r>
  <r>
    <s v="2025-04-12"/>
    <x v="6"/>
    <x v="1"/>
    <x v="1"/>
    <x v="0"/>
    <x v="0"/>
    <n v="14"/>
    <n v="15000"/>
    <n v="210000"/>
    <x v="0"/>
  </r>
  <r>
    <s v="2025-06-12"/>
    <x v="4"/>
    <x v="0"/>
    <x v="0"/>
    <x v="0"/>
    <x v="0"/>
    <n v="15"/>
    <n v="20000"/>
    <n v="300000"/>
    <x v="1"/>
  </r>
  <r>
    <s v="2025-06-03"/>
    <x v="3"/>
    <x v="0"/>
    <x v="0"/>
    <x v="0"/>
    <x v="0"/>
    <n v="14"/>
    <n v="18000"/>
    <n v="252000"/>
    <x v="2"/>
  </r>
  <r>
    <s v="2025-05-26"/>
    <x v="2"/>
    <x v="2"/>
    <x v="0"/>
    <x v="4"/>
    <x v="0"/>
    <n v="13"/>
    <n v="12000"/>
    <n v="156000"/>
    <x v="3"/>
  </r>
  <r>
    <s v="2025-04-06"/>
    <x v="5"/>
    <x v="1"/>
    <x v="1"/>
    <x v="0"/>
    <x v="0"/>
    <n v="7"/>
    <n v="20000"/>
    <n v="140000"/>
    <x v="3"/>
  </r>
  <r>
    <s v="2025-04-09"/>
    <x v="1"/>
    <x v="1"/>
    <x v="0"/>
    <x v="2"/>
    <x v="0"/>
    <n v="17"/>
    <n v="20000"/>
    <n v="340000"/>
    <x v="3"/>
  </r>
  <r>
    <s v="2025-05-17"/>
    <x v="6"/>
    <x v="2"/>
    <x v="1"/>
    <x v="0"/>
    <x v="0"/>
    <n v="2"/>
    <n v="12000"/>
    <n v="24000"/>
    <x v="2"/>
  </r>
  <r>
    <s v="2025-04-08"/>
    <x v="3"/>
    <x v="1"/>
    <x v="0"/>
    <x v="2"/>
    <x v="0"/>
    <n v="18"/>
    <n v="15000"/>
    <n v="27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BC1C7-9113-4BBF-8657-845B7BAFF38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9" firstHeaderRow="1" firstDataRow="1" firstDataCol="1" rowPageCount="1" colPageCount="1"/>
  <pivotFields count="11">
    <pivotField axis="axisPage" showAll="0">
      <items count="91">
        <item x="73"/>
        <item x="87"/>
        <item x="22"/>
        <item x="13"/>
        <item x="77"/>
        <item x="24"/>
        <item x="16"/>
        <item x="49"/>
        <item x="84"/>
        <item x="12"/>
        <item x="50"/>
        <item x="36"/>
        <item x="14"/>
        <item x="89"/>
        <item x="31"/>
        <item x="74"/>
        <item x="20"/>
        <item x="27"/>
        <item x="46"/>
        <item x="53"/>
        <item x="81"/>
        <item x="59"/>
        <item x="1"/>
        <item x="85"/>
        <item x="61"/>
        <item x="43"/>
        <item x="69"/>
        <item x="41"/>
        <item x="33"/>
        <item x="38"/>
        <item x="67"/>
        <item x="30"/>
        <item x="70"/>
        <item x="55"/>
        <item x="62"/>
        <item x="71"/>
        <item x="4"/>
        <item x="80"/>
        <item x="76"/>
        <item x="28"/>
        <item x="54"/>
        <item x="58"/>
        <item x="56"/>
        <item x="44"/>
        <item x="6"/>
        <item x="9"/>
        <item x="25"/>
        <item x="75"/>
        <item x="57"/>
        <item x="88"/>
        <item x="79"/>
        <item x="21"/>
        <item x="39"/>
        <item x="82"/>
        <item x="48"/>
        <item x="63"/>
        <item x="15"/>
        <item x="26"/>
        <item x="47"/>
        <item x="40"/>
        <item x="66"/>
        <item x="2"/>
        <item x="11"/>
        <item x="35"/>
        <item x="29"/>
        <item x="0"/>
        <item x="52"/>
        <item x="37"/>
        <item x="51"/>
        <item x="68"/>
        <item x="17"/>
        <item x="23"/>
        <item x="3"/>
        <item x="83"/>
        <item x="19"/>
        <item x="34"/>
        <item x="5"/>
        <item x="45"/>
        <item x="64"/>
        <item x="32"/>
        <item x="72"/>
        <item x="65"/>
        <item x="86"/>
        <item x="42"/>
        <item x="8"/>
        <item x="78"/>
        <item x="7"/>
        <item x="18"/>
        <item x="10"/>
        <item x="60"/>
        <item t="default"/>
      </items>
    </pivotField>
    <pivotField name="Jenis Dimsum"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pivotField showAll="0"/>
    <pivotField showAll="0"/>
    <pivotField dataField="1"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2">
    <field x="1"/>
    <field x="7"/>
  </rowFields>
  <rowItems count="26">
    <i>
      <x v="1"/>
    </i>
    <i r="1">
      <x v="2"/>
    </i>
    <i r="1">
      <x v="3"/>
    </i>
    <i r="1">
      <x v="1"/>
    </i>
    <i r="1">
      <x/>
    </i>
    <i>
      <x v="2"/>
    </i>
    <i r="1">
      <x v="3"/>
    </i>
    <i r="1">
      <x v="2"/>
    </i>
    <i r="1">
      <x/>
    </i>
    <i r="1">
      <x v="1"/>
    </i>
    <i>
      <x/>
    </i>
    <i r="1">
      <x v="3"/>
    </i>
    <i r="1">
      <x v="2"/>
    </i>
    <i r="1">
      <x/>
    </i>
    <i r="1">
      <x v="1"/>
    </i>
    <i>
      <x v="3"/>
    </i>
    <i r="1">
      <x/>
    </i>
    <i r="1">
      <x v="2"/>
    </i>
    <i r="1">
      <x v="1"/>
    </i>
    <i r="1">
      <x v="3"/>
    </i>
    <i>
      <x v="4"/>
    </i>
    <i r="1">
      <x v="1"/>
    </i>
    <i r="1">
      <x v="2"/>
    </i>
    <i r="1">
      <x/>
    </i>
    <i r="1">
      <x v="3"/>
    </i>
    <i t="grand">
      <x/>
    </i>
  </rowItems>
  <colItems count="1">
    <i/>
  </colItems>
  <pageFields count="1">
    <pageField fld="0" hier="-1"/>
  </pageFields>
  <dataFields count="1">
    <dataField name="Total Penjualan Dimsum" fld="6"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26BE41-A53F-46B0-98C4-947367F1FED8}"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88:B92" firstHeaderRow="1" firstDataRow="1" firstDataCol="1"/>
  <pivotFields count="12">
    <pivotField showAll="0"/>
    <pivotField showAll="0"/>
    <pivotField axis="axisRow" showAll="0" sortType="ascending">
      <items count="4">
        <item x="1"/>
        <item x="2"/>
        <item x="0"/>
        <item t="default"/>
      </items>
    </pivotField>
    <pivotField showAll="0"/>
    <pivotField showAll="0">
      <items count="6">
        <item x="0"/>
        <item x="2"/>
        <item x="4"/>
        <item x="3"/>
        <item x="1"/>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2"/>
  </rowFields>
  <rowItems count="4">
    <i>
      <x/>
    </i>
    <i>
      <x v="1"/>
    </i>
    <i>
      <x v="2"/>
    </i>
    <i t="grand">
      <x/>
    </i>
  </rowItems>
  <colItems count="1">
    <i/>
  </colItems>
  <dataFields count="1">
    <dataField name="Average of Jumlah Terjual" fld="6" subtotal="average" baseField="2" baseItem="2"/>
  </dataFields>
  <chartFormats count="4">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176CC6-ED70-4499-8189-93DACFA89787}"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19:B25" firstHeaderRow="1" firstDataRow="1" firstDataCol="1"/>
  <pivotFields count="8">
    <pivotField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ragToRow="0" dragToCol="0" dragToPage="0" showAll="0" defaultSubtotal="0"/>
  </pivotFields>
  <rowFields count="1">
    <field x="1"/>
  </rowFields>
  <rowItems count="6">
    <i>
      <x v="1"/>
    </i>
    <i>
      <x v="2"/>
    </i>
    <i>
      <x/>
    </i>
    <i>
      <x v="3"/>
    </i>
    <i>
      <x v="4"/>
    </i>
    <i t="grand">
      <x/>
    </i>
  </rowItems>
  <colItems count="1">
    <i/>
  </colItems>
  <dataFields count="1">
    <dataField name="Sum of Total Penjualan" fld="5" baseField="0" baseItem="0"/>
  </dataFields>
  <chartFormats count="4">
    <chartFormat chart="17"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E70FAD-C414-4DB1-9E66-1AD88BC28016}"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3:B9" firstHeaderRow="1" firstDataRow="1" firstDataCol="1"/>
  <pivotFields count="8">
    <pivotField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s>
  <rowFields count="1">
    <field x="1"/>
  </rowFields>
  <rowItems count="6">
    <i>
      <x v="2"/>
    </i>
    <i>
      <x v="1"/>
    </i>
    <i>
      <x/>
    </i>
    <i>
      <x v="3"/>
    </i>
    <i>
      <x v="4"/>
    </i>
    <i t="grand">
      <x/>
    </i>
  </rowItems>
  <colItems count="1">
    <i/>
  </colItems>
  <dataFields count="1">
    <dataField name="Sum of Jumlah Terjual" fld="3" baseField="0" baseItem="0"/>
  </dataFields>
  <chartFormats count="2">
    <chartFormat chart="13" format="3"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494CD3-18D8-4AB3-B625-0344F7CDF6F7}"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5:B38" firstHeaderRow="1" firstDataRow="1" firstDataCol="1"/>
  <pivotFields count="12">
    <pivotField showAll="0"/>
    <pivotField showAll="0">
      <items count="8">
        <item x="5"/>
        <item x="2"/>
        <item x="3"/>
        <item x="1"/>
        <item x="4"/>
        <item x="0"/>
        <item x="6"/>
        <item t="default"/>
      </items>
    </pivotField>
    <pivotField showAll="0"/>
    <pivotField axis="axisRow" dataField="1"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items count="2">
        <item x="0"/>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3">
    <i>
      <x v="1"/>
    </i>
    <i>
      <x/>
    </i>
    <i t="grand">
      <x/>
    </i>
  </rowItems>
  <colItems count="1">
    <i/>
  </colItems>
  <dataFields count="1">
    <dataField name="Count of Kategori Hari" fld="3" subtotal="count" baseField="0" baseItem="0"/>
  </dataField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524B40-D892-45B9-800B-EBC4475EDD79}"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H73:I77" firstHeaderRow="1" firstDataRow="1" firstDataCol="1"/>
  <pivotFields count="12">
    <pivotField showAll="0"/>
    <pivotField showAll="0"/>
    <pivotField axis="axisRow" showAll="0">
      <items count="4">
        <item x="1"/>
        <item x="2"/>
        <item x="0"/>
        <item t="default"/>
      </items>
    </pivotField>
    <pivotField showAll="0"/>
    <pivotField showAll="0">
      <items count="6">
        <item x="0"/>
        <item x="2"/>
        <item x="4"/>
        <item x="3"/>
        <item x="1"/>
        <item t="default"/>
      </items>
    </pivotField>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2"/>
  </rowFields>
  <rowItems count="4">
    <i>
      <x/>
    </i>
    <i>
      <x v="1"/>
    </i>
    <i>
      <x v="2"/>
    </i>
    <i t="grand">
      <x/>
    </i>
  </rowItems>
  <colItems count="1">
    <i/>
  </colItems>
  <dataFields count="1">
    <dataField name="Sum of Total Penjualan" fld="8" showDataAs="percentDiff" baseField="2" baseItem="0" numFmtId="1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F88689-BDCF-41EC-9F5F-489E604A5425}"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G3:H9" firstHeaderRow="1" firstDataRow="1" firstDataCol="1"/>
  <pivotFields count="8">
    <pivotField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ragToRow="0" dragToCol="0" dragToPage="0" showAll="0" defaultSubtotal="0"/>
  </pivotFields>
  <rowFields count="1">
    <field x="1"/>
  </rowFields>
  <rowItems count="6">
    <i>
      <x v="1"/>
    </i>
    <i>
      <x v="2"/>
    </i>
    <i>
      <x/>
    </i>
    <i>
      <x v="3"/>
    </i>
    <i>
      <x v="4"/>
    </i>
    <i t="grand">
      <x/>
    </i>
  </rowItems>
  <colItems count="1">
    <i/>
  </colItems>
  <dataFields count="1">
    <dataField name="Sum of Total Penjualan" fld="5" showDataAs="percentOfTotal" baseField="1" baseItem="1" numFmtId="10"/>
  </dataFields>
  <chartFormats count="12">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 count="1" selected="0">
            <x v="1"/>
          </reference>
        </references>
      </pivotArea>
    </chartFormat>
    <chartFormat chart="18" format="2">
      <pivotArea type="data" outline="0" fieldPosition="0">
        <references count="2">
          <reference field="4294967294" count="1" selected="0">
            <x v="0"/>
          </reference>
          <reference field="1" count="1" selected="0">
            <x v="2"/>
          </reference>
        </references>
      </pivotArea>
    </chartFormat>
    <chartFormat chart="18" format="3">
      <pivotArea type="data" outline="0" fieldPosition="0">
        <references count="2">
          <reference field="4294967294" count="1" selected="0">
            <x v="0"/>
          </reference>
          <reference field="1" count="1" selected="0">
            <x v="0"/>
          </reference>
        </references>
      </pivotArea>
    </chartFormat>
    <chartFormat chart="18" format="4">
      <pivotArea type="data" outline="0" fieldPosition="0">
        <references count="2">
          <reference field="4294967294" count="1" selected="0">
            <x v="0"/>
          </reference>
          <reference field="1" count="1" selected="0">
            <x v="3"/>
          </reference>
        </references>
      </pivotArea>
    </chartFormat>
    <chartFormat chart="18" format="5">
      <pivotArea type="data" outline="0" fieldPosition="0">
        <references count="2">
          <reference field="4294967294" count="1" selected="0">
            <x v="0"/>
          </reference>
          <reference field="1" count="1" selected="0">
            <x v="4"/>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1" count="1" selected="0">
            <x v="1"/>
          </reference>
        </references>
      </pivotArea>
    </chartFormat>
    <chartFormat chart="21" format="14">
      <pivotArea type="data" outline="0" fieldPosition="0">
        <references count="2">
          <reference field="4294967294" count="1" selected="0">
            <x v="0"/>
          </reference>
          <reference field="1" count="1" selected="0">
            <x v="2"/>
          </reference>
        </references>
      </pivotArea>
    </chartFormat>
    <chartFormat chart="21" format="15">
      <pivotArea type="data" outline="0" fieldPosition="0">
        <references count="2">
          <reference field="4294967294" count="1" selected="0">
            <x v="0"/>
          </reference>
          <reference field="1" count="1" selected="0">
            <x v="0"/>
          </reference>
        </references>
      </pivotArea>
    </chartFormat>
    <chartFormat chart="21" format="16">
      <pivotArea type="data" outline="0" fieldPosition="0">
        <references count="2">
          <reference field="4294967294" count="1" selected="0">
            <x v="0"/>
          </reference>
          <reference field="1" count="1" selected="0">
            <x v="3"/>
          </reference>
        </references>
      </pivotArea>
    </chartFormat>
    <chartFormat chart="21"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78419A-8498-4C76-99D7-05E9F102AA10}"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51:B70" firstHeaderRow="1" firstDataRow="1" firstDataCol="1"/>
  <pivotFields count="12">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axis="axisRow" showAll="0" sortType="a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2">
    <field x="2"/>
    <field x="4"/>
  </rowFields>
  <rowItems count="19">
    <i>
      <x v="2"/>
    </i>
    <i r="1">
      <x v="3"/>
    </i>
    <i r="1">
      <x/>
    </i>
    <i r="1">
      <x v="4"/>
    </i>
    <i r="1">
      <x v="2"/>
    </i>
    <i r="1">
      <x v="1"/>
    </i>
    <i>
      <x/>
    </i>
    <i r="1">
      <x v="1"/>
    </i>
    <i r="1">
      <x v="3"/>
    </i>
    <i r="1">
      <x v="2"/>
    </i>
    <i r="1">
      <x v="4"/>
    </i>
    <i r="1">
      <x/>
    </i>
    <i>
      <x v="1"/>
    </i>
    <i r="1">
      <x v="4"/>
    </i>
    <i r="1">
      <x/>
    </i>
    <i r="1">
      <x v="1"/>
    </i>
    <i r="1">
      <x v="3"/>
    </i>
    <i r="1">
      <x v="2"/>
    </i>
    <i t="grand">
      <x/>
    </i>
  </rowItems>
  <colItems count="1">
    <i/>
  </colItems>
  <dataFields count="1">
    <dataField name="Sum of Jumlah Terjual" fld="6" baseField="0" baseItem="0"/>
  </dataFields>
  <conditionalFormats count="1">
    <conditionalFormat type="all" priority="1">
      <pivotAreas count="1">
        <pivotArea type="data" collapsedLevelsAreSubtotals="1" fieldPosition="0">
          <references count="3">
            <reference field="4294967294" count="1" selected="0">
              <x v="0"/>
            </reference>
            <reference field="2" count="1" selected="0">
              <x v="2"/>
            </reference>
            <reference field="4" count="5">
              <x v="0"/>
              <x v="1"/>
              <x v="2"/>
              <x v="3"/>
              <x v="4"/>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188FD3-45F8-47E0-B29B-47A2E8E3C84F}"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04:B109" firstHeaderRow="1" firstDataRow="1" firstDataCol="1"/>
  <pivotFields count="12">
    <pivotField showAll="0"/>
    <pivotField showAll="0"/>
    <pivotField showAll="0"/>
    <pivotField showAll="0"/>
    <pivotField showAll="0"/>
    <pivotField showAll="0"/>
    <pivotField showAll="0"/>
    <pivotField showAll="0"/>
    <pivotField showAll="0"/>
    <pivotField axis="axisRow" dataField="1"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s>
  <rowFields count="1">
    <field x="9"/>
  </rowFields>
  <rowItems count="5">
    <i>
      <x/>
    </i>
    <i>
      <x v="3"/>
    </i>
    <i>
      <x v="2"/>
    </i>
    <i>
      <x v="1"/>
    </i>
    <i t="grand">
      <x/>
    </i>
  </rowItems>
  <colItems count="1">
    <i/>
  </colItems>
  <dataFields count="1">
    <dataField name="Count of Metode Pembayaran" fld="9" subtotal="count" baseField="0" baseItem="0"/>
  </dataFields>
  <chartFormats count="2">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8143F7-18A9-4F71-A32D-25182BB3B117}"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35:H43" firstHeaderRow="1" firstDataRow="1" firstDataCol="1"/>
  <pivotFields count="12">
    <pivotField showAll="0"/>
    <pivotField axis="axisRow" showAll="0" sortType="ascending">
      <items count="8">
        <item x="5"/>
        <item x="2"/>
        <item x="3"/>
        <item x="1"/>
        <item x="4"/>
        <item x="0"/>
        <item x="6"/>
        <item t="default"/>
      </items>
    </pivotField>
    <pivotField showAll="0"/>
    <pivotField showAll="0">
      <items count="3">
        <item x="0"/>
        <item x="1"/>
        <item t="default"/>
      </items>
    </pivotField>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1"/>
  </rowFields>
  <rowItems count="8">
    <i>
      <x/>
    </i>
    <i>
      <x v="1"/>
    </i>
    <i>
      <x v="2"/>
    </i>
    <i>
      <x v="3"/>
    </i>
    <i>
      <x v="4"/>
    </i>
    <i>
      <x v="5"/>
    </i>
    <i>
      <x v="6"/>
    </i>
    <i t="grand">
      <x/>
    </i>
  </rowItems>
  <colItems count="1">
    <i/>
  </colItems>
  <dataFields count="1">
    <dataField name="Sum of Jumlah Terjual" fld="6"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ED7A36-4F47-4ECC-A8EB-7BEE3AA76BD1}"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73:B77" firstHeaderRow="1" firstDataRow="1" firstDataCol="1"/>
  <pivotFields count="12">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3"/>
        <item x="1"/>
        <item t="default"/>
      </items>
    </pivotField>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2"/>
  </rowFields>
  <rowItems count="4">
    <i>
      <x v="2"/>
    </i>
    <i>
      <x v="1"/>
    </i>
    <i>
      <x/>
    </i>
    <i t="grand">
      <x/>
    </i>
  </rowItems>
  <colItems count="1">
    <i/>
  </colItems>
  <dataFields count="1">
    <dataField name="Count of Metode Pembayaran" fld="9" subtotal="count"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167D76-5DFF-4613-956A-F895C8D0FA5C}"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I52:J56" firstHeaderRow="1" firstDataRow="1" firstDataCol="1"/>
  <pivotFields count="12">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3"/>
        <item x="1"/>
        <item t="default"/>
      </items>
    </pivotField>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2"/>
  </rowFields>
  <rowItems count="4">
    <i>
      <x v="1"/>
    </i>
    <i>
      <x/>
    </i>
    <i>
      <x v="2"/>
    </i>
    <i t="grand">
      <x/>
    </i>
  </rowItems>
  <colItems count="1">
    <i/>
  </colItems>
  <dataFields count="1">
    <dataField name="Sum of Total Penjualan" fld="8"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C2E4A642-6D5A-41D5-96F5-8FAFA2A02F86}" sourceName="Bulan">
  <pivotTables>
    <pivotTable tabId="5" name="PivotTable7"/>
  </pivotTables>
  <data>
    <tabular pivotCacheId="134085328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Produk" xr10:uid="{B7A912BA-6BF4-47A7-B3D0-955696B2A5D0}" sourceName="Nama Produk">
  <pivotTables>
    <pivotTable tabId="5" name="PivotTable2"/>
  </pivotTables>
  <data>
    <tabular pivotCacheId="131105152">
      <items count="5">
        <i x="0" s="1"/>
        <i x="2"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xr10:uid="{00903F93-E77C-4FF5-B724-44FE0C95781B}" cache="Slicer_Bulan" caption="Bulan" style="SlicerStyleDark6" rowHeight="241300"/>
  <slicer name="Nama Produk" xr10:uid="{C99F928F-9931-4595-94C8-4976ABA3DB80}" cache="Slicer_Nama_Produk" caption="Nama Produk"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4CCA05-AD7C-4771-8E9A-31FE208BB1CF}" name="Penjualan_Dimsum" displayName="Penjualan_Dimsum" ref="A1:J501" totalsRowShown="0">
  <autoFilter ref="A1:J501" xr:uid="{0A4CCA05-AD7C-4771-8E9A-31FE208BB1CF}"/>
  <tableColumns count="10">
    <tableColumn id="1" xr3:uid="{3B9DDD1B-E651-4DF2-804A-4782EF1A98DF}" name="Tanggal" dataDxfId="3"/>
    <tableColumn id="2" xr3:uid="{4E76C307-80DB-446A-B1BF-0793CA38671A}" name="Hari" dataDxfId="2">
      <calculatedColumnFormula>TEXT(A2,"DDDD")</calculatedColumnFormula>
    </tableColumn>
    <tableColumn id="10" xr3:uid="{FEF5DA39-56D1-406B-8235-8EE042D85907}" name="Bulan" dataDxfId="1">
      <calculatedColumnFormula>TEXT(Penjualan_Dimsum[[#This Row],[Tanggal]],"mmmm")</calculatedColumnFormula>
    </tableColumn>
    <tableColumn id="3" xr3:uid="{3FD86E2F-CD5C-4645-BD1B-5F7BDE733528}" name="Kategori Hari" dataDxfId="0">
      <calculatedColumnFormula>IF(OR(B2="Saturday",B2="Sunday"),"Weekend","Weekday")</calculatedColumnFormula>
    </tableColumn>
    <tableColumn id="4" xr3:uid="{1AFCD973-216B-48D7-A947-49BAA79D7B22}" name="Nama Produk"/>
    <tableColumn id="5" xr3:uid="{95042DF2-2ACD-4A51-8402-2EB14EBE42DD}" name="Kategori"/>
    <tableColumn id="6" xr3:uid="{6CC3139E-6177-46C0-ABD4-AEB7DDED20A7}" name="Jumlah Terjual"/>
    <tableColumn id="7" xr3:uid="{F3B147C6-18A8-4D5A-ACF4-513280C79690}" name="Harga Satuan"/>
    <tableColumn id="8" xr3:uid="{9266F3C5-0BF7-4592-95D0-7B0521AF5177}" name="Total Penjualan"/>
    <tableColumn id="9" xr3:uid="{77EC416E-067C-4391-B537-EFB956377D8C}" name="Metode Pembayara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zoomScale="127" zoomScaleNormal="105" workbookViewId="0">
      <pane ySplit="1" topLeftCell="A474" activePane="bottomLeft" state="frozen"/>
      <selection pane="bottomLeft" sqref="A1:K501"/>
    </sheetView>
  </sheetViews>
  <sheetFormatPr defaultRowHeight="15" x14ac:dyDescent="0.25"/>
  <cols>
    <col min="1" max="1" width="11.140625" style="1" bestFit="1" customWidth="1"/>
    <col min="2" max="2" width="19.7109375" bestFit="1" customWidth="1"/>
    <col min="3" max="3" width="10.7109375" bestFit="1" customWidth="1"/>
    <col min="4" max="4" width="16.28515625" bestFit="1" customWidth="1"/>
    <col min="5" max="5" width="14.7109375" bestFit="1" customWidth="1"/>
    <col min="6" max="6" width="14.7109375" customWidth="1"/>
    <col min="7" max="7" width="17.140625" bestFit="1" customWidth="1"/>
    <col min="8" max="8" width="22" bestFit="1" customWidth="1"/>
    <col min="9" max="9" width="27.28515625" bestFit="1" customWidth="1"/>
    <col min="10" max="10" width="6.42578125" bestFit="1" customWidth="1"/>
    <col min="11" max="11" width="19.7109375" bestFit="1" customWidth="1"/>
  </cols>
  <sheetData>
    <row r="1" spans="1:11" x14ac:dyDescent="0.25">
      <c r="A1" s="1" t="s">
        <v>0</v>
      </c>
      <c r="B1" t="s">
        <v>1</v>
      </c>
      <c r="C1" t="s">
        <v>2</v>
      </c>
      <c r="D1" t="s">
        <v>3</v>
      </c>
      <c r="E1" t="s">
        <v>4</v>
      </c>
      <c r="F1" t="s">
        <v>108</v>
      </c>
      <c r="G1" t="s">
        <v>5</v>
      </c>
      <c r="H1" t="s">
        <v>6</v>
      </c>
      <c r="I1" t="s">
        <v>107</v>
      </c>
      <c r="J1" t="s">
        <v>109</v>
      </c>
      <c r="K1" t="s">
        <v>110</v>
      </c>
    </row>
    <row r="2" spans="1:11" x14ac:dyDescent="0.25">
      <c r="A2" s="1" t="s">
        <v>7</v>
      </c>
      <c r="B2" t="s">
        <v>8</v>
      </c>
      <c r="C2" t="s">
        <v>9</v>
      </c>
      <c r="D2">
        <v>9</v>
      </c>
      <c r="E2">
        <v>15000</v>
      </c>
      <c r="F2" t="str">
        <f>REPLACE(G2,1,1,"D ")</f>
        <v>D 35000</v>
      </c>
      <c r="G2">
        <v>135000</v>
      </c>
      <c r="H2" t="s">
        <v>10</v>
      </c>
      <c r="I2" t="str">
        <f>CONCATENATE(B2, " = ", E2)</f>
        <v>Dimsum Ayam = 15000</v>
      </c>
      <c r="J2">
        <f>LEN(B2)</f>
        <v>11</v>
      </c>
      <c r="K2" t="str">
        <f>TRIM(B2)</f>
        <v>Dimsum Ayam</v>
      </c>
    </row>
    <row r="3" spans="1:11" x14ac:dyDescent="0.25">
      <c r="A3" s="1" t="s">
        <v>11</v>
      </c>
      <c r="B3" t="s">
        <v>12</v>
      </c>
      <c r="C3" t="s">
        <v>9</v>
      </c>
      <c r="D3">
        <v>3</v>
      </c>
      <c r="E3">
        <v>18000</v>
      </c>
      <c r="F3" t="str">
        <f t="shared" ref="F3:F66" si="0">REPLACE(G3,1,1,"D ")</f>
        <v>D 4000</v>
      </c>
      <c r="G3">
        <v>54000</v>
      </c>
      <c r="H3" t="s">
        <v>13</v>
      </c>
      <c r="I3" t="str">
        <f t="shared" ref="I3:I66" si="1">CONCATENATE(B3, " = ", E3)</f>
        <v>Dimsum Udang = 18000</v>
      </c>
      <c r="J3">
        <f t="shared" ref="J3:J66" si="2">LEN(B3)</f>
        <v>12</v>
      </c>
      <c r="K3" t="str">
        <f t="shared" ref="K3:K66" si="3">TRIM(B3)</f>
        <v>Dimsum Udang</v>
      </c>
    </row>
    <row r="4" spans="1:11" x14ac:dyDescent="0.25">
      <c r="A4" s="1" t="s">
        <v>14</v>
      </c>
      <c r="B4" t="s">
        <v>12</v>
      </c>
      <c r="C4" t="s">
        <v>9</v>
      </c>
      <c r="D4">
        <v>17</v>
      </c>
      <c r="E4">
        <v>18000</v>
      </c>
      <c r="F4" t="str">
        <f t="shared" si="0"/>
        <v>D 06000</v>
      </c>
      <c r="G4">
        <v>306000</v>
      </c>
      <c r="H4" t="s">
        <v>10</v>
      </c>
      <c r="I4" t="str">
        <f t="shared" si="1"/>
        <v>Dimsum Udang = 18000</v>
      </c>
      <c r="J4">
        <f t="shared" si="2"/>
        <v>12</v>
      </c>
      <c r="K4" t="str">
        <f t="shared" si="3"/>
        <v>Dimsum Udang</v>
      </c>
    </row>
    <row r="5" spans="1:11" x14ac:dyDescent="0.25">
      <c r="A5" s="1" t="s">
        <v>15</v>
      </c>
      <c r="B5" t="s">
        <v>16</v>
      </c>
      <c r="C5" t="s">
        <v>9</v>
      </c>
      <c r="D5">
        <v>9</v>
      </c>
      <c r="E5">
        <v>15000</v>
      </c>
      <c r="F5" t="str">
        <f t="shared" si="0"/>
        <v>D 35000</v>
      </c>
      <c r="G5">
        <v>135000</v>
      </c>
      <c r="H5" t="s">
        <v>10</v>
      </c>
      <c r="I5" t="str">
        <f t="shared" si="1"/>
        <v>Dimsum Ayam Jamur = 15000</v>
      </c>
      <c r="J5">
        <f t="shared" si="2"/>
        <v>17</v>
      </c>
      <c r="K5" t="str">
        <f t="shared" si="3"/>
        <v>Dimsum Ayam Jamur</v>
      </c>
    </row>
    <row r="6" spans="1:11" x14ac:dyDescent="0.25">
      <c r="A6" s="1" t="s">
        <v>17</v>
      </c>
      <c r="B6" t="s">
        <v>8</v>
      </c>
      <c r="C6" t="s">
        <v>9</v>
      </c>
      <c r="D6">
        <v>17</v>
      </c>
      <c r="E6">
        <v>15000</v>
      </c>
      <c r="F6" t="str">
        <f t="shared" si="0"/>
        <v>D 55000</v>
      </c>
      <c r="G6">
        <v>255000</v>
      </c>
      <c r="H6" t="s">
        <v>18</v>
      </c>
      <c r="I6" t="str">
        <f t="shared" si="1"/>
        <v>Dimsum Ayam = 15000</v>
      </c>
      <c r="J6">
        <f t="shared" si="2"/>
        <v>11</v>
      </c>
      <c r="K6" t="str">
        <f t="shared" si="3"/>
        <v>Dimsum Ayam</v>
      </c>
    </row>
    <row r="7" spans="1:11" x14ac:dyDescent="0.25">
      <c r="A7" s="1" t="s">
        <v>19</v>
      </c>
      <c r="B7" t="s">
        <v>12</v>
      </c>
      <c r="C7" t="s">
        <v>9</v>
      </c>
      <c r="D7">
        <v>10</v>
      </c>
      <c r="E7">
        <v>20000</v>
      </c>
      <c r="F7" t="str">
        <f t="shared" si="0"/>
        <v>D 00000</v>
      </c>
      <c r="G7">
        <v>200000</v>
      </c>
      <c r="H7" t="s">
        <v>20</v>
      </c>
      <c r="I7" t="str">
        <f t="shared" si="1"/>
        <v>Dimsum Udang = 20000</v>
      </c>
      <c r="J7">
        <f t="shared" si="2"/>
        <v>12</v>
      </c>
      <c r="K7" t="str">
        <f t="shared" si="3"/>
        <v>Dimsum Udang</v>
      </c>
    </row>
    <row r="8" spans="1:11" x14ac:dyDescent="0.25">
      <c r="A8" s="1" t="s">
        <v>21</v>
      </c>
      <c r="B8" t="s">
        <v>8</v>
      </c>
      <c r="C8" t="s">
        <v>9</v>
      </c>
      <c r="D8">
        <v>9</v>
      </c>
      <c r="E8">
        <v>15000</v>
      </c>
      <c r="F8" t="str">
        <f t="shared" si="0"/>
        <v>D 35000</v>
      </c>
      <c r="G8">
        <v>135000</v>
      </c>
      <c r="H8" t="s">
        <v>13</v>
      </c>
      <c r="I8" t="str">
        <f t="shared" si="1"/>
        <v>Dimsum Ayam = 15000</v>
      </c>
      <c r="J8">
        <f t="shared" si="2"/>
        <v>11</v>
      </c>
      <c r="K8" t="str">
        <f t="shared" si="3"/>
        <v>Dimsum Ayam</v>
      </c>
    </row>
    <row r="9" spans="1:11" x14ac:dyDescent="0.25">
      <c r="A9" s="1" t="s">
        <v>11</v>
      </c>
      <c r="B9" t="s">
        <v>22</v>
      </c>
      <c r="C9" t="s">
        <v>9</v>
      </c>
      <c r="D9">
        <v>16</v>
      </c>
      <c r="E9">
        <v>15000</v>
      </c>
      <c r="F9" t="str">
        <f t="shared" si="0"/>
        <v>D 40000</v>
      </c>
      <c r="G9">
        <v>240000</v>
      </c>
      <c r="H9" t="s">
        <v>18</v>
      </c>
      <c r="I9" t="str">
        <f t="shared" si="1"/>
        <v>Dimsum Nori = 15000</v>
      </c>
      <c r="J9">
        <f t="shared" si="2"/>
        <v>11</v>
      </c>
      <c r="K9" t="str">
        <f t="shared" si="3"/>
        <v>Dimsum Nori</v>
      </c>
    </row>
    <row r="10" spans="1:11" x14ac:dyDescent="0.25">
      <c r="A10" s="1" t="s">
        <v>23</v>
      </c>
      <c r="B10" t="s">
        <v>16</v>
      </c>
      <c r="C10" t="s">
        <v>9</v>
      </c>
      <c r="D10">
        <v>4</v>
      </c>
      <c r="E10">
        <v>15000</v>
      </c>
      <c r="F10" t="str">
        <f t="shared" si="0"/>
        <v>D 0000</v>
      </c>
      <c r="G10">
        <v>60000</v>
      </c>
      <c r="H10" t="s">
        <v>18</v>
      </c>
      <c r="I10" t="str">
        <f t="shared" si="1"/>
        <v>Dimsum Ayam Jamur = 15000</v>
      </c>
      <c r="J10">
        <f t="shared" si="2"/>
        <v>17</v>
      </c>
      <c r="K10" t="str">
        <f t="shared" si="3"/>
        <v>Dimsum Ayam Jamur</v>
      </c>
    </row>
    <row r="11" spans="1:11" x14ac:dyDescent="0.25">
      <c r="A11" s="1" t="s">
        <v>24</v>
      </c>
      <c r="B11" t="s">
        <v>12</v>
      </c>
      <c r="C11" t="s">
        <v>9</v>
      </c>
      <c r="D11">
        <v>19</v>
      </c>
      <c r="E11">
        <v>20000</v>
      </c>
      <c r="F11" t="str">
        <f t="shared" si="0"/>
        <v>D 80000</v>
      </c>
      <c r="G11">
        <v>380000</v>
      </c>
      <c r="H11" t="s">
        <v>10</v>
      </c>
      <c r="I11" t="str">
        <f t="shared" si="1"/>
        <v>Dimsum Udang = 20000</v>
      </c>
      <c r="J11">
        <f t="shared" si="2"/>
        <v>12</v>
      </c>
      <c r="K11" t="str">
        <f t="shared" si="3"/>
        <v>Dimsum Udang</v>
      </c>
    </row>
    <row r="12" spans="1:11" x14ac:dyDescent="0.25">
      <c r="A12" s="1" t="s">
        <v>25</v>
      </c>
      <c r="B12" t="s">
        <v>26</v>
      </c>
      <c r="C12" t="s">
        <v>9</v>
      </c>
      <c r="D12">
        <v>7</v>
      </c>
      <c r="E12">
        <v>18000</v>
      </c>
      <c r="F12" t="str">
        <f t="shared" si="0"/>
        <v>D 26000</v>
      </c>
      <c r="G12">
        <v>126000</v>
      </c>
      <c r="H12" t="s">
        <v>18</v>
      </c>
      <c r="I12" t="str">
        <f t="shared" si="1"/>
        <v>Dimsum Kepiting = 18000</v>
      </c>
      <c r="J12">
        <f t="shared" si="2"/>
        <v>15</v>
      </c>
      <c r="K12" t="str">
        <f t="shared" si="3"/>
        <v>Dimsum Kepiting</v>
      </c>
    </row>
    <row r="13" spans="1:11" x14ac:dyDescent="0.25">
      <c r="A13" s="1" t="s">
        <v>27</v>
      </c>
      <c r="B13" t="s">
        <v>26</v>
      </c>
      <c r="C13" t="s">
        <v>9</v>
      </c>
      <c r="D13">
        <v>18</v>
      </c>
      <c r="E13">
        <v>18000</v>
      </c>
      <c r="F13" t="str">
        <f t="shared" si="0"/>
        <v>D 24000</v>
      </c>
      <c r="G13">
        <v>324000</v>
      </c>
      <c r="H13" t="s">
        <v>18</v>
      </c>
      <c r="I13" t="str">
        <f t="shared" si="1"/>
        <v>Dimsum Kepiting = 18000</v>
      </c>
      <c r="J13">
        <f t="shared" si="2"/>
        <v>15</v>
      </c>
      <c r="K13" t="str">
        <f t="shared" si="3"/>
        <v>Dimsum Kepiting</v>
      </c>
    </row>
    <row r="14" spans="1:11" x14ac:dyDescent="0.25">
      <c r="A14" s="1" t="s">
        <v>28</v>
      </c>
      <c r="B14" t="s">
        <v>16</v>
      </c>
      <c r="C14" t="s">
        <v>9</v>
      </c>
      <c r="D14">
        <v>18</v>
      </c>
      <c r="E14">
        <v>15000</v>
      </c>
      <c r="F14" t="str">
        <f t="shared" si="0"/>
        <v>D 70000</v>
      </c>
      <c r="G14">
        <v>270000</v>
      </c>
      <c r="H14" t="s">
        <v>10</v>
      </c>
      <c r="I14" t="str">
        <f t="shared" si="1"/>
        <v>Dimsum Ayam Jamur = 15000</v>
      </c>
      <c r="J14">
        <f t="shared" si="2"/>
        <v>17</v>
      </c>
      <c r="K14" t="str">
        <f t="shared" si="3"/>
        <v>Dimsum Ayam Jamur</v>
      </c>
    </row>
    <row r="15" spans="1:11" x14ac:dyDescent="0.25">
      <c r="A15" s="1" t="s">
        <v>29</v>
      </c>
      <c r="B15" t="s">
        <v>26</v>
      </c>
      <c r="C15" t="s">
        <v>9</v>
      </c>
      <c r="D15">
        <v>4</v>
      </c>
      <c r="E15">
        <v>18000</v>
      </c>
      <c r="F15" t="str">
        <f t="shared" si="0"/>
        <v>D 2000</v>
      </c>
      <c r="G15">
        <v>72000</v>
      </c>
      <c r="H15" t="s">
        <v>18</v>
      </c>
      <c r="I15" t="str">
        <f t="shared" si="1"/>
        <v>Dimsum Kepiting = 18000</v>
      </c>
      <c r="J15">
        <f t="shared" si="2"/>
        <v>15</v>
      </c>
      <c r="K15" t="str">
        <f t="shared" si="3"/>
        <v>Dimsum Kepiting</v>
      </c>
    </row>
    <row r="16" spans="1:11" x14ac:dyDescent="0.25">
      <c r="A16" s="1" t="s">
        <v>30</v>
      </c>
      <c r="B16" t="s">
        <v>8</v>
      </c>
      <c r="C16" t="s">
        <v>9</v>
      </c>
      <c r="D16">
        <v>12</v>
      </c>
      <c r="E16">
        <v>15000</v>
      </c>
      <c r="F16" t="str">
        <f t="shared" si="0"/>
        <v>D 80000</v>
      </c>
      <c r="G16">
        <v>180000</v>
      </c>
      <c r="H16" t="s">
        <v>10</v>
      </c>
      <c r="I16" t="str">
        <f t="shared" si="1"/>
        <v>Dimsum Ayam = 15000</v>
      </c>
      <c r="J16">
        <f t="shared" si="2"/>
        <v>11</v>
      </c>
      <c r="K16" t="str">
        <f t="shared" si="3"/>
        <v>Dimsum Ayam</v>
      </c>
    </row>
    <row r="17" spans="1:11" x14ac:dyDescent="0.25">
      <c r="A17" s="1" t="s">
        <v>29</v>
      </c>
      <c r="B17" t="s">
        <v>8</v>
      </c>
      <c r="C17" t="s">
        <v>9</v>
      </c>
      <c r="D17">
        <v>13</v>
      </c>
      <c r="E17">
        <v>20000</v>
      </c>
      <c r="F17" t="str">
        <f t="shared" si="0"/>
        <v>D 60000</v>
      </c>
      <c r="G17">
        <v>260000</v>
      </c>
      <c r="H17" t="s">
        <v>13</v>
      </c>
      <c r="I17" t="str">
        <f t="shared" si="1"/>
        <v>Dimsum Ayam = 20000</v>
      </c>
      <c r="J17">
        <f t="shared" si="2"/>
        <v>11</v>
      </c>
      <c r="K17" t="str">
        <f t="shared" si="3"/>
        <v>Dimsum Ayam</v>
      </c>
    </row>
    <row r="18" spans="1:11" x14ac:dyDescent="0.25">
      <c r="A18" s="1" t="s">
        <v>31</v>
      </c>
      <c r="B18" t="s">
        <v>8</v>
      </c>
      <c r="C18" t="s">
        <v>9</v>
      </c>
      <c r="D18">
        <v>7</v>
      </c>
      <c r="E18">
        <v>15000</v>
      </c>
      <c r="F18" t="str">
        <f t="shared" si="0"/>
        <v>D 05000</v>
      </c>
      <c r="G18">
        <v>105000</v>
      </c>
      <c r="H18" t="s">
        <v>10</v>
      </c>
      <c r="I18" t="str">
        <f t="shared" si="1"/>
        <v>Dimsum Ayam = 15000</v>
      </c>
      <c r="J18">
        <f t="shared" si="2"/>
        <v>11</v>
      </c>
      <c r="K18" t="str">
        <f t="shared" si="3"/>
        <v>Dimsum Ayam</v>
      </c>
    </row>
    <row r="19" spans="1:11" x14ac:dyDescent="0.25">
      <c r="A19" s="1" t="s">
        <v>32</v>
      </c>
      <c r="B19" t="s">
        <v>8</v>
      </c>
      <c r="C19" t="s">
        <v>9</v>
      </c>
      <c r="D19">
        <v>19</v>
      </c>
      <c r="E19">
        <v>12000</v>
      </c>
      <c r="F19" t="str">
        <f t="shared" si="0"/>
        <v>D 28000</v>
      </c>
      <c r="G19">
        <v>228000</v>
      </c>
      <c r="H19" t="s">
        <v>18</v>
      </c>
      <c r="I19" t="str">
        <f t="shared" si="1"/>
        <v>Dimsum Ayam = 12000</v>
      </c>
      <c r="J19">
        <f t="shared" si="2"/>
        <v>11</v>
      </c>
      <c r="K19" t="str">
        <f t="shared" si="3"/>
        <v>Dimsum Ayam</v>
      </c>
    </row>
    <row r="20" spans="1:11" x14ac:dyDescent="0.25">
      <c r="A20" s="1" t="s">
        <v>29</v>
      </c>
      <c r="B20" t="s">
        <v>26</v>
      </c>
      <c r="C20" t="s">
        <v>9</v>
      </c>
      <c r="D20">
        <v>3</v>
      </c>
      <c r="E20">
        <v>20000</v>
      </c>
      <c r="F20" t="str">
        <f t="shared" si="0"/>
        <v>D 0000</v>
      </c>
      <c r="G20">
        <v>60000</v>
      </c>
      <c r="H20" t="s">
        <v>13</v>
      </c>
      <c r="I20" t="str">
        <f t="shared" si="1"/>
        <v>Dimsum Kepiting = 20000</v>
      </c>
      <c r="J20">
        <f t="shared" si="2"/>
        <v>15</v>
      </c>
      <c r="K20" t="str">
        <f t="shared" si="3"/>
        <v>Dimsum Kepiting</v>
      </c>
    </row>
    <row r="21" spans="1:11" x14ac:dyDescent="0.25">
      <c r="A21" s="1" t="s">
        <v>15</v>
      </c>
      <c r="B21" t="s">
        <v>12</v>
      </c>
      <c r="C21" t="s">
        <v>9</v>
      </c>
      <c r="D21">
        <v>1</v>
      </c>
      <c r="E21">
        <v>12000</v>
      </c>
      <c r="F21" t="str">
        <f t="shared" si="0"/>
        <v>D 2000</v>
      </c>
      <c r="G21">
        <v>12000</v>
      </c>
      <c r="H21" t="s">
        <v>20</v>
      </c>
      <c r="I21" t="str">
        <f t="shared" si="1"/>
        <v>Dimsum Udang = 12000</v>
      </c>
      <c r="J21">
        <f t="shared" si="2"/>
        <v>12</v>
      </c>
      <c r="K21" t="str">
        <f t="shared" si="3"/>
        <v>Dimsum Udang</v>
      </c>
    </row>
    <row r="22" spans="1:11" x14ac:dyDescent="0.25">
      <c r="A22" s="1" t="s">
        <v>33</v>
      </c>
      <c r="B22" t="s">
        <v>8</v>
      </c>
      <c r="C22" t="s">
        <v>9</v>
      </c>
      <c r="D22">
        <v>1</v>
      </c>
      <c r="E22">
        <v>12000</v>
      </c>
      <c r="F22" t="str">
        <f t="shared" si="0"/>
        <v>D 2000</v>
      </c>
      <c r="G22">
        <v>12000</v>
      </c>
      <c r="H22" t="s">
        <v>13</v>
      </c>
      <c r="I22" t="str">
        <f t="shared" si="1"/>
        <v>Dimsum Ayam = 12000</v>
      </c>
      <c r="J22">
        <f t="shared" si="2"/>
        <v>11</v>
      </c>
      <c r="K22" t="str">
        <f t="shared" si="3"/>
        <v>Dimsum Ayam</v>
      </c>
    </row>
    <row r="23" spans="1:11" x14ac:dyDescent="0.25">
      <c r="A23" s="1" t="s">
        <v>34</v>
      </c>
      <c r="B23" t="s">
        <v>16</v>
      </c>
      <c r="C23" t="s">
        <v>9</v>
      </c>
      <c r="D23">
        <v>17</v>
      </c>
      <c r="E23">
        <v>15000</v>
      </c>
      <c r="F23" t="str">
        <f t="shared" si="0"/>
        <v>D 55000</v>
      </c>
      <c r="G23">
        <v>255000</v>
      </c>
      <c r="H23" t="s">
        <v>20</v>
      </c>
      <c r="I23" t="str">
        <f t="shared" si="1"/>
        <v>Dimsum Ayam Jamur = 15000</v>
      </c>
      <c r="J23">
        <f t="shared" si="2"/>
        <v>17</v>
      </c>
      <c r="K23" t="str">
        <f t="shared" si="3"/>
        <v>Dimsum Ayam Jamur</v>
      </c>
    </row>
    <row r="24" spans="1:11" x14ac:dyDescent="0.25">
      <c r="A24" s="1" t="s">
        <v>35</v>
      </c>
      <c r="B24" t="s">
        <v>8</v>
      </c>
      <c r="C24" t="s">
        <v>9</v>
      </c>
      <c r="D24">
        <v>10</v>
      </c>
      <c r="E24">
        <v>12000</v>
      </c>
      <c r="F24" t="str">
        <f t="shared" si="0"/>
        <v>D 20000</v>
      </c>
      <c r="G24">
        <v>120000</v>
      </c>
      <c r="H24" t="s">
        <v>20</v>
      </c>
      <c r="I24" t="str">
        <f t="shared" si="1"/>
        <v>Dimsum Ayam = 12000</v>
      </c>
      <c r="J24">
        <f t="shared" si="2"/>
        <v>11</v>
      </c>
      <c r="K24" t="str">
        <f t="shared" si="3"/>
        <v>Dimsum Ayam</v>
      </c>
    </row>
    <row r="25" spans="1:11" x14ac:dyDescent="0.25">
      <c r="A25" s="1" t="s">
        <v>36</v>
      </c>
      <c r="B25" t="s">
        <v>22</v>
      </c>
      <c r="C25" t="s">
        <v>9</v>
      </c>
      <c r="D25">
        <v>4</v>
      </c>
      <c r="E25">
        <v>12000</v>
      </c>
      <c r="F25" t="str">
        <f t="shared" si="0"/>
        <v>D 8000</v>
      </c>
      <c r="G25">
        <v>48000</v>
      </c>
      <c r="H25" t="s">
        <v>13</v>
      </c>
      <c r="I25" t="str">
        <f t="shared" si="1"/>
        <v>Dimsum Nori = 12000</v>
      </c>
      <c r="J25">
        <f t="shared" si="2"/>
        <v>11</v>
      </c>
      <c r="K25" t="str">
        <f t="shared" si="3"/>
        <v>Dimsum Nori</v>
      </c>
    </row>
    <row r="26" spans="1:11" x14ac:dyDescent="0.25">
      <c r="A26" s="1" t="s">
        <v>37</v>
      </c>
      <c r="B26" t="s">
        <v>12</v>
      </c>
      <c r="C26" t="s">
        <v>9</v>
      </c>
      <c r="D26">
        <v>6</v>
      </c>
      <c r="E26">
        <v>18000</v>
      </c>
      <c r="F26" t="str">
        <f t="shared" si="0"/>
        <v>D 08000</v>
      </c>
      <c r="G26">
        <v>108000</v>
      </c>
      <c r="H26" t="s">
        <v>10</v>
      </c>
      <c r="I26" t="str">
        <f t="shared" si="1"/>
        <v>Dimsum Udang = 18000</v>
      </c>
      <c r="J26">
        <f t="shared" si="2"/>
        <v>12</v>
      </c>
      <c r="K26" t="str">
        <f t="shared" si="3"/>
        <v>Dimsum Udang</v>
      </c>
    </row>
    <row r="27" spans="1:11" x14ac:dyDescent="0.25">
      <c r="A27" s="1" t="s">
        <v>28</v>
      </c>
      <c r="B27" t="s">
        <v>16</v>
      </c>
      <c r="C27" t="s">
        <v>9</v>
      </c>
      <c r="D27">
        <v>8</v>
      </c>
      <c r="E27">
        <v>18000</v>
      </c>
      <c r="F27" t="str">
        <f t="shared" si="0"/>
        <v>D 44000</v>
      </c>
      <c r="G27">
        <v>144000</v>
      </c>
      <c r="H27" t="s">
        <v>20</v>
      </c>
      <c r="I27" t="str">
        <f t="shared" si="1"/>
        <v>Dimsum Ayam Jamur = 18000</v>
      </c>
      <c r="J27">
        <f t="shared" si="2"/>
        <v>17</v>
      </c>
      <c r="K27" t="str">
        <f t="shared" si="3"/>
        <v>Dimsum Ayam Jamur</v>
      </c>
    </row>
    <row r="28" spans="1:11" x14ac:dyDescent="0.25">
      <c r="A28" s="1" t="s">
        <v>37</v>
      </c>
      <c r="B28" t="s">
        <v>22</v>
      </c>
      <c r="C28" t="s">
        <v>9</v>
      </c>
      <c r="D28">
        <v>19</v>
      </c>
      <c r="E28">
        <v>12000</v>
      </c>
      <c r="F28" t="str">
        <f t="shared" si="0"/>
        <v>D 28000</v>
      </c>
      <c r="G28">
        <v>228000</v>
      </c>
      <c r="H28" t="s">
        <v>20</v>
      </c>
      <c r="I28" t="str">
        <f t="shared" si="1"/>
        <v>Dimsum Nori = 12000</v>
      </c>
      <c r="J28">
        <f t="shared" si="2"/>
        <v>11</v>
      </c>
      <c r="K28" t="str">
        <f t="shared" si="3"/>
        <v>Dimsum Nori</v>
      </c>
    </row>
    <row r="29" spans="1:11" x14ac:dyDescent="0.25">
      <c r="A29" s="1" t="s">
        <v>38</v>
      </c>
      <c r="B29" t="s">
        <v>16</v>
      </c>
      <c r="C29" t="s">
        <v>9</v>
      </c>
      <c r="D29">
        <v>17</v>
      </c>
      <c r="E29">
        <v>12000</v>
      </c>
      <c r="F29" t="str">
        <f t="shared" si="0"/>
        <v>D 04000</v>
      </c>
      <c r="G29">
        <v>204000</v>
      </c>
      <c r="H29" t="s">
        <v>13</v>
      </c>
      <c r="I29" t="str">
        <f t="shared" si="1"/>
        <v>Dimsum Ayam Jamur = 12000</v>
      </c>
      <c r="J29">
        <f t="shared" si="2"/>
        <v>17</v>
      </c>
      <c r="K29" t="str">
        <f t="shared" si="3"/>
        <v>Dimsum Ayam Jamur</v>
      </c>
    </row>
    <row r="30" spans="1:11" x14ac:dyDescent="0.25">
      <c r="A30" s="1" t="s">
        <v>15</v>
      </c>
      <c r="B30" t="s">
        <v>8</v>
      </c>
      <c r="C30" t="s">
        <v>9</v>
      </c>
      <c r="D30">
        <v>19</v>
      </c>
      <c r="E30">
        <v>15000</v>
      </c>
      <c r="F30" t="str">
        <f t="shared" si="0"/>
        <v>D 85000</v>
      </c>
      <c r="G30">
        <v>285000</v>
      </c>
      <c r="H30" t="s">
        <v>10</v>
      </c>
      <c r="I30" t="str">
        <f t="shared" si="1"/>
        <v>Dimsum Ayam = 15000</v>
      </c>
      <c r="J30">
        <f t="shared" si="2"/>
        <v>11</v>
      </c>
      <c r="K30" t="str">
        <f t="shared" si="3"/>
        <v>Dimsum Ayam</v>
      </c>
    </row>
    <row r="31" spans="1:11" x14ac:dyDescent="0.25">
      <c r="A31" s="1" t="s">
        <v>39</v>
      </c>
      <c r="B31" t="s">
        <v>26</v>
      </c>
      <c r="C31" t="s">
        <v>9</v>
      </c>
      <c r="D31">
        <v>4</v>
      </c>
      <c r="E31">
        <v>12000</v>
      </c>
      <c r="F31" t="str">
        <f t="shared" si="0"/>
        <v>D 8000</v>
      </c>
      <c r="G31">
        <v>48000</v>
      </c>
      <c r="H31" t="s">
        <v>13</v>
      </c>
      <c r="I31" t="str">
        <f t="shared" si="1"/>
        <v>Dimsum Kepiting = 12000</v>
      </c>
      <c r="J31">
        <f t="shared" si="2"/>
        <v>15</v>
      </c>
      <c r="K31" t="str">
        <f t="shared" si="3"/>
        <v>Dimsum Kepiting</v>
      </c>
    </row>
    <row r="32" spans="1:11" x14ac:dyDescent="0.25">
      <c r="A32" s="1" t="s">
        <v>15</v>
      </c>
      <c r="B32" t="s">
        <v>12</v>
      </c>
      <c r="C32" t="s">
        <v>9</v>
      </c>
      <c r="D32">
        <v>15</v>
      </c>
      <c r="E32">
        <v>12000</v>
      </c>
      <c r="F32" t="str">
        <f t="shared" si="0"/>
        <v>D 80000</v>
      </c>
      <c r="G32">
        <v>180000</v>
      </c>
      <c r="H32" t="s">
        <v>20</v>
      </c>
      <c r="I32" t="str">
        <f t="shared" si="1"/>
        <v>Dimsum Udang = 12000</v>
      </c>
      <c r="J32">
        <f t="shared" si="2"/>
        <v>12</v>
      </c>
      <c r="K32" t="str">
        <f t="shared" si="3"/>
        <v>Dimsum Udang</v>
      </c>
    </row>
    <row r="33" spans="1:11" x14ac:dyDescent="0.25">
      <c r="A33" s="1" t="s">
        <v>40</v>
      </c>
      <c r="B33" t="s">
        <v>8</v>
      </c>
      <c r="C33" t="s">
        <v>9</v>
      </c>
      <c r="D33">
        <v>13</v>
      </c>
      <c r="E33">
        <v>15000</v>
      </c>
      <c r="F33" t="str">
        <f t="shared" si="0"/>
        <v>D 95000</v>
      </c>
      <c r="G33">
        <v>195000</v>
      </c>
      <c r="H33" t="s">
        <v>10</v>
      </c>
      <c r="I33" t="str">
        <f t="shared" si="1"/>
        <v>Dimsum Ayam = 15000</v>
      </c>
      <c r="J33">
        <f t="shared" si="2"/>
        <v>11</v>
      </c>
      <c r="K33" t="str">
        <f t="shared" si="3"/>
        <v>Dimsum Ayam</v>
      </c>
    </row>
    <row r="34" spans="1:11" x14ac:dyDescent="0.25">
      <c r="A34" s="1" t="s">
        <v>32</v>
      </c>
      <c r="B34" t="s">
        <v>22</v>
      </c>
      <c r="C34" t="s">
        <v>9</v>
      </c>
      <c r="D34">
        <v>20</v>
      </c>
      <c r="E34">
        <v>12000</v>
      </c>
      <c r="F34" t="str">
        <f t="shared" si="0"/>
        <v>D 40000</v>
      </c>
      <c r="G34">
        <v>240000</v>
      </c>
      <c r="H34" t="s">
        <v>18</v>
      </c>
      <c r="I34" t="str">
        <f t="shared" si="1"/>
        <v>Dimsum Nori = 12000</v>
      </c>
      <c r="J34">
        <f t="shared" si="2"/>
        <v>11</v>
      </c>
      <c r="K34" t="str">
        <f t="shared" si="3"/>
        <v>Dimsum Nori</v>
      </c>
    </row>
    <row r="35" spans="1:11" x14ac:dyDescent="0.25">
      <c r="A35" s="1" t="s">
        <v>41</v>
      </c>
      <c r="B35" t="s">
        <v>26</v>
      </c>
      <c r="C35" t="s">
        <v>9</v>
      </c>
      <c r="D35">
        <v>9</v>
      </c>
      <c r="E35">
        <v>20000</v>
      </c>
      <c r="F35" t="str">
        <f t="shared" si="0"/>
        <v>D 80000</v>
      </c>
      <c r="G35">
        <v>180000</v>
      </c>
      <c r="H35" t="s">
        <v>13</v>
      </c>
      <c r="I35" t="str">
        <f t="shared" si="1"/>
        <v>Dimsum Kepiting = 20000</v>
      </c>
      <c r="J35">
        <f t="shared" si="2"/>
        <v>15</v>
      </c>
      <c r="K35" t="str">
        <f t="shared" si="3"/>
        <v>Dimsum Kepiting</v>
      </c>
    </row>
    <row r="36" spans="1:11" x14ac:dyDescent="0.25">
      <c r="A36" s="1" t="s">
        <v>42</v>
      </c>
      <c r="B36" t="s">
        <v>22</v>
      </c>
      <c r="C36" t="s">
        <v>9</v>
      </c>
      <c r="D36">
        <v>7</v>
      </c>
      <c r="E36">
        <v>15000</v>
      </c>
      <c r="F36" t="str">
        <f t="shared" si="0"/>
        <v>D 05000</v>
      </c>
      <c r="G36">
        <v>105000</v>
      </c>
      <c r="H36" t="s">
        <v>20</v>
      </c>
      <c r="I36" t="str">
        <f t="shared" si="1"/>
        <v>Dimsum Nori = 15000</v>
      </c>
      <c r="J36">
        <f t="shared" si="2"/>
        <v>11</v>
      </c>
      <c r="K36" t="str">
        <f t="shared" si="3"/>
        <v>Dimsum Nori</v>
      </c>
    </row>
    <row r="37" spans="1:11" x14ac:dyDescent="0.25">
      <c r="A37" s="1" t="s">
        <v>43</v>
      </c>
      <c r="B37" t="s">
        <v>16</v>
      </c>
      <c r="C37" t="s">
        <v>9</v>
      </c>
      <c r="D37">
        <v>18</v>
      </c>
      <c r="E37">
        <v>18000</v>
      </c>
      <c r="F37" t="str">
        <f t="shared" si="0"/>
        <v>D 24000</v>
      </c>
      <c r="G37">
        <v>324000</v>
      </c>
      <c r="H37" t="s">
        <v>18</v>
      </c>
      <c r="I37" t="str">
        <f t="shared" si="1"/>
        <v>Dimsum Ayam Jamur = 18000</v>
      </c>
      <c r="J37">
        <f t="shared" si="2"/>
        <v>17</v>
      </c>
      <c r="K37" t="str">
        <f t="shared" si="3"/>
        <v>Dimsum Ayam Jamur</v>
      </c>
    </row>
    <row r="38" spans="1:11" x14ac:dyDescent="0.25">
      <c r="A38" s="1" t="s">
        <v>34</v>
      </c>
      <c r="B38" t="s">
        <v>8</v>
      </c>
      <c r="C38" t="s">
        <v>9</v>
      </c>
      <c r="D38">
        <v>8</v>
      </c>
      <c r="E38">
        <v>15000</v>
      </c>
      <c r="F38" t="str">
        <f t="shared" si="0"/>
        <v>D 20000</v>
      </c>
      <c r="G38">
        <v>120000</v>
      </c>
      <c r="H38" t="s">
        <v>20</v>
      </c>
      <c r="I38" t="str">
        <f t="shared" si="1"/>
        <v>Dimsum Ayam = 15000</v>
      </c>
      <c r="J38">
        <f t="shared" si="2"/>
        <v>11</v>
      </c>
      <c r="K38" t="str">
        <f t="shared" si="3"/>
        <v>Dimsum Ayam</v>
      </c>
    </row>
    <row r="39" spans="1:11" x14ac:dyDescent="0.25">
      <c r="A39" s="1" t="s">
        <v>44</v>
      </c>
      <c r="B39" t="s">
        <v>26</v>
      </c>
      <c r="C39" t="s">
        <v>9</v>
      </c>
      <c r="D39">
        <v>6</v>
      </c>
      <c r="E39">
        <v>18000</v>
      </c>
      <c r="F39" t="str">
        <f t="shared" si="0"/>
        <v>D 08000</v>
      </c>
      <c r="G39">
        <v>108000</v>
      </c>
      <c r="H39" t="s">
        <v>13</v>
      </c>
      <c r="I39" t="str">
        <f t="shared" si="1"/>
        <v>Dimsum Kepiting = 18000</v>
      </c>
      <c r="J39">
        <f t="shared" si="2"/>
        <v>15</v>
      </c>
      <c r="K39" t="str">
        <f t="shared" si="3"/>
        <v>Dimsum Kepiting</v>
      </c>
    </row>
    <row r="40" spans="1:11" x14ac:dyDescent="0.25">
      <c r="A40" s="1" t="s">
        <v>32</v>
      </c>
      <c r="B40" t="s">
        <v>22</v>
      </c>
      <c r="C40" t="s">
        <v>9</v>
      </c>
      <c r="D40">
        <v>18</v>
      </c>
      <c r="E40">
        <v>12000</v>
      </c>
      <c r="F40" t="str">
        <f t="shared" si="0"/>
        <v>D 16000</v>
      </c>
      <c r="G40">
        <v>216000</v>
      </c>
      <c r="H40" t="s">
        <v>20</v>
      </c>
      <c r="I40" t="str">
        <f t="shared" si="1"/>
        <v>Dimsum Nori = 12000</v>
      </c>
      <c r="J40">
        <f t="shared" si="2"/>
        <v>11</v>
      </c>
      <c r="K40" t="str">
        <f t="shared" si="3"/>
        <v>Dimsum Nori</v>
      </c>
    </row>
    <row r="41" spans="1:11" x14ac:dyDescent="0.25">
      <c r="A41" s="1" t="s">
        <v>15</v>
      </c>
      <c r="B41" t="s">
        <v>26</v>
      </c>
      <c r="C41" t="s">
        <v>9</v>
      </c>
      <c r="D41">
        <v>7</v>
      </c>
      <c r="E41">
        <v>20000</v>
      </c>
      <c r="F41" t="str">
        <f t="shared" si="0"/>
        <v>D 40000</v>
      </c>
      <c r="G41">
        <v>140000</v>
      </c>
      <c r="H41" t="s">
        <v>20</v>
      </c>
      <c r="I41" t="str">
        <f t="shared" si="1"/>
        <v>Dimsum Kepiting = 20000</v>
      </c>
      <c r="J41">
        <f t="shared" si="2"/>
        <v>15</v>
      </c>
      <c r="K41" t="str">
        <f t="shared" si="3"/>
        <v>Dimsum Kepiting</v>
      </c>
    </row>
    <row r="42" spans="1:11" x14ac:dyDescent="0.25">
      <c r="A42" s="1" t="s">
        <v>23</v>
      </c>
      <c r="B42" t="s">
        <v>22</v>
      </c>
      <c r="C42" t="s">
        <v>9</v>
      </c>
      <c r="D42">
        <v>7</v>
      </c>
      <c r="E42">
        <v>15000</v>
      </c>
      <c r="F42" t="str">
        <f t="shared" si="0"/>
        <v>D 05000</v>
      </c>
      <c r="G42">
        <v>105000</v>
      </c>
      <c r="H42" t="s">
        <v>20</v>
      </c>
      <c r="I42" t="str">
        <f t="shared" si="1"/>
        <v>Dimsum Nori = 15000</v>
      </c>
      <c r="J42">
        <f t="shared" si="2"/>
        <v>11</v>
      </c>
      <c r="K42" t="str">
        <f t="shared" si="3"/>
        <v>Dimsum Nori</v>
      </c>
    </row>
    <row r="43" spans="1:11" x14ac:dyDescent="0.25">
      <c r="A43" s="1" t="s">
        <v>23</v>
      </c>
      <c r="B43" t="s">
        <v>26</v>
      </c>
      <c r="C43" t="s">
        <v>9</v>
      </c>
      <c r="D43">
        <v>9</v>
      </c>
      <c r="E43">
        <v>12000</v>
      </c>
      <c r="F43" t="str">
        <f t="shared" si="0"/>
        <v>D 08000</v>
      </c>
      <c r="G43">
        <v>108000</v>
      </c>
      <c r="H43" t="s">
        <v>20</v>
      </c>
      <c r="I43" t="str">
        <f t="shared" si="1"/>
        <v>Dimsum Kepiting = 12000</v>
      </c>
      <c r="J43">
        <f t="shared" si="2"/>
        <v>15</v>
      </c>
      <c r="K43" t="str">
        <f t="shared" si="3"/>
        <v>Dimsum Kepiting</v>
      </c>
    </row>
    <row r="44" spans="1:11" x14ac:dyDescent="0.25">
      <c r="A44" s="1" t="s">
        <v>45</v>
      </c>
      <c r="B44" t="s">
        <v>22</v>
      </c>
      <c r="C44" t="s">
        <v>9</v>
      </c>
      <c r="D44">
        <v>20</v>
      </c>
      <c r="E44">
        <v>12000</v>
      </c>
      <c r="F44" t="str">
        <f t="shared" si="0"/>
        <v>D 40000</v>
      </c>
      <c r="G44">
        <v>240000</v>
      </c>
      <c r="H44" t="s">
        <v>20</v>
      </c>
      <c r="I44" t="str">
        <f t="shared" si="1"/>
        <v>Dimsum Nori = 12000</v>
      </c>
      <c r="J44">
        <f t="shared" si="2"/>
        <v>11</v>
      </c>
      <c r="K44" t="str">
        <f t="shared" si="3"/>
        <v>Dimsum Nori</v>
      </c>
    </row>
    <row r="45" spans="1:11" x14ac:dyDescent="0.25">
      <c r="A45" s="1" t="s">
        <v>46</v>
      </c>
      <c r="B45" t="s">
        <v>22</v>
      </c>
      <c r="C45" t="s">
        <v>9</v>
      </c>
      <c r="D45">
        <v>11</v>
      </c>
      <c r="E45">
        <v>18000</v>
      </c>
      <c r="F45" t="str">
        <f t="shared" si="0"/>
        <v>D 98000</v>
      </c>
      <c r="G45">
        <v>198000</v>
      </c>
      <c r="H45" t="s">
        <v>10</v>
      </c>
      <c r="I45" t="str">
        <f t="shared" si="1"/>
        <v>Dimsum Nori = 18000</v>
      </c>
      <c r="J45">
        <f t="shared" si="2"/>
        <v>11</v>
      </c>
      <c r="K45" t="str">
        <f t="shared" si="3"/>
        <v>Dimsum Nori</v>
      </c>
    </row>
    <row r="46" spans="1:11" x14ac:dyDescent="0.25">
      <c r="A46" s="1" t="s">
        <v>45</v>
      </c>
      <c r="B46" t="s">
        <v>8</v>
      </c>
      <c r="C46" t="s">
        <v>9</v>
      </c>
      <c r="D46">
        <v>3</v>
      </c>
      <c r="E46">
        <v>15000</v>
      </c>
      <c r="F46" t="str">
        <f t="shared" si="0"/>
        <v>D 5000</v>
      </c>
      <c r="G46">
        <v>45000</v>
      </c>
      <c r="H46" t="s">
        <v>18</v>
      </c>
      <c r="I46" t="str">
        <f t="shared" si="1"/>
        <v>Dimsum Ayam = 15000</v>
      </c>
      <c r="J46">
        <f t="shared" si="2"/>
        <v>11</v>
      </c>
      <c r="K46" t="str">
        <f t="shared" si="3"/>
        <v>Dimsum Ayam</v>
      </c>
    </row>
    <row r="47" spans="1:11" x14ac:dyDescent="0.25">
      <c r="A47" s="1" t="s">
        <v>47</v>
      </c>
      <c r="B47" t="s">
        <v>22</v>
      </c>
      <c r="C47" t="s">
        <v>9</v>
      </c>
      <c r="D47">
        <v>15</v>
      </c>
      <c r="E47">
        <v>15000</v>
      </c>
      <c r="F47" t="str">
        <f t="shared" si="0"/>
        <v>D 25000</v>
      </c>
      <c r="G47">
        <v>225000</v>
      </c>
      <c r="H47" t="s">
        <v>10</v>
      </c>
      <c r="I47" t="str">
        <f t="shared" si="1"/>
        <v>Dimsum Nori = 15000</v>
      </c>
      <c r="J47">
        <f t="shared" si="2"/>
        <v>11</v>
      </c>
      <c r="K47" t="str">
        <f t="shared" si="3"/>
        <v>Dimsum Nori</v>
      </c>
    </row>
    <row r="48" spans="1:11" x14ac:dyDescent="0.25">
      <c r="A48" s="1" t="s">
        <v>48</v>
      </c>
      <c r="B48" t="s">
        <v>26</v>
      </c>
      <c r="C48" t="s">
        <v>9</v>
      </c>
      <c r="D48">
        <v>14</v>
      </c>
      <c r="E48">
        <v>18000</v>
      </c>
      <c r="F48" t="str">
        <f t="shared" si="0"/>
        <v>D 52000</v>
      </c>
      <c r="G48">
        <v>252000</v>
      </c>
      <c r="H48" t="s">
        <v>13</v>
      </c>
      <c r="I48" t="str">
        <f t="shared" si="1"/>
        <v>Dimsum Kepiting = 18000</v>
      </c>
      <c r="J48">
        <f t="shared" si="2"/>
        <v>15</v>
      </c>
      <c r="K48" t="str">
        <f t="shared" si="3"/>
        <v>Dimsum Kepiting</v>
      </c>
    </row>
    <row r="49" spans="1:11" x14ac:dyDescent="0.25">
      <c r="A49" s="1" t="s">
        <v>49</v>
      </c>
      <c r="B49" t="s">
        <v>16</v>
      </c>
      <c r="C49" t="s">
        <v>9</v>
      </c>
      <c r="D49">
        <v>1</v>
      </c>
      <c r="E49">
        <v>18000</v>
      </c>
      <c r="F49" t="str">
        <f t="shared" si="0"/>
        <v>D 8000</v>
      </c>
      <c r="G49">
        <v>18000</v>
      </c>
      <c r="H49" t="s">
        <v>10</v>
      </c>
      <c r="I49" t="str">
        <f t="shared" si="1"/>
        <v>Dimsum Ayam Jamur = 18000</v>
      </c>
      <c r="J49">
        <f t="shared" si="2"/>
        <v>17</v>
      </c>
      <c r="K49" t="str">
        <f t="shared" si="3"/>
        <v>Dimsum Ayam Jamur</v>
      </c>
    </row>
    <row r="50" spans="1:11" x14ac:dyDescent="0.25">
      <c r="A50" s="1" t="s">
        <v>37</v>
      </c>
      <c r="B50" t="s">
        <v>16</v>
      </c>
      <c r="C50" t="s">
        <v>9</v>
      </c>
      <c r="D50">
        <v>14</v>
      </c>
      <c r="E50">
        <v>20000</v>
      </c>
      <c r="F50" t="str">
        <f t="shared" si="0"/>
        <v>D 80000</v>
      </c>
      <c r="G50">
        <v>280000</v>
      </c>
      <c r="H50" t="s">
        <v>18</v>
      </c>
      <c r="I50" t="str">
        <f t="shared" si="1"/>
        <v>Dimsum Ayam Jamur = 20000</v>
      </c>
      <c r="J50">
        <f t="shared" si="2"/>
        <v>17</v>
      </c>
      <c r="K50" t="str">
        <f t="shared" si="3"/>
        <v>Dimsum Ayam Jamur</v>
      </c>
    </row>
    <row r="51" spans="1:11" x14ac:dyDescent="0.25">
      <c r="A51" s="1" t="s">
        <v>47</v>
      </c>
      <c r="B51" t="s">
        <v>26</v>
      </c>
      <c r="C51" t="s">
        <v>9</v>
      </c>
      <c r="D51">
        <v>6</v>
      </c>
      <c r="E51">
        <v>15000</v>
      </c>
      <c r="F51" t="str">
        <f t="shared" si="0"/>
        <v>D 0000</v>
      </c>
      <c r="G51">
        <v>90000</v>
      </c>
      <c r="H51" t="s">
        <v>20</v>
      </c>
      <c r="I51" t="str">
        <f t="shared" si="1"/>
        <v>Dimsum Kepiting = 15000</v>
      </c>
      <c r="J51">
        <f t="shared" si="2"/>
        <v>15</v>
      </c>
      <c r="K51" t="str">
        <f t="shared" si="3"/>
        <v>Dimsum Kepiting</v>
      </c>
    </row>
    <row r="52" spans="1:11" x14ac:dyDescent="0.25">
      <c r="A52" s="1" t="s">
        <v>37</v>
      </c>
      <c r="B52" t="s">
        <v>26</v>
      </c>
      <c r="C52" t="s">
        <v>9</v>
      </c>
      <c r="D52">
        <v>7</v>
      </c>
      <c r="E52">
        <v>20000</v>
      </c>
      <c r="F52" t="str">
        <f t="shared" si="0"/>
        <v>D 40000</v>
      </c>
      <c r="G52">
        <v>140000</v>
      </c>
      <c r="H52" t="s">
        <v>20</v>
      </c>
      <c r="I52" t="str">
        <f t="shared" si="1"/>
        <v>Dimsum Kepiting = 20000</v>
      </c>
      <c r="J52">
        <f t="shared" si="2"/>
        <v>15</v>
      </c>
      <c r="K52" t="str">
        <f t="shared" si="3"/>
        <v>Dimsum Kepiting</v>
      </c>
    </row>
    <row r="53" spans="1:11" x14ac:dyDescent="0.25">
      <c r="A53" s="1" t="s">
        <v>34</v>
      </c>
      <c r="B53" t="s">
        <v>26</v>
      </c>
      <c r="C53" t="s">
        <v>9</v>
      </c>
      <c r="D53">
        <v>7</v>
      </c>
      <c r="E53">
        <v>18000</v>
      </c>
      <c r="F53" t="str">
        <f t="shared" si="0"/>
        <v>D 26000</v>
      </c>
      <c r="G53">
        <v>126000</v>
      </c>
      <c r="H53" t="s">
        <v>18</v>
      </c>
      <c r="I53" t="str">
        <f t="shared" si="1"/>
        <v>Dimsum Kepiting = 18000</v>
      </c>
      <c r="J53">
        <f t="shared" si="2"/>
        <v>15</v>
      </c>
      <c r="K53" t="str">
        <f t="shared" si="3"/>
        <v>Dimsum Kepiting</v>
      </c>
    </row>
    <row r="54" spans="1:11" x14ac:dyDescent="0.25">
      <c r="A54" s="1" t="s">
        <v>27</v>
      </c>
      <c r="B54" t="s">
        <v>26</v>
      </c>
      <c r="C54" t="s">
        <v>9</v>
      </c>
      <c r="D54">
        <v>14</v>
      </c>
      <c r="E54">
        <v>18000</v>
      </c>
      <c r="F54" t="str">
        <f t="shared" si="0"/>
        <v>D 52000</v>
      </c>
      <c r="G54">
        <v>252000</v>
      </c>
      <c r="H54" t="s">
        <v>10</v>
      </c>
      <c r="I54" t="str">
        <f t="shared" si="1"/>
        <v>Dimsum Kepiting = 18000</v>
      </c>
      <c r="J54">
        <f t="shared" si="2"/>
        <v>15</v>
      </c>
      <c r="K54" t="str">
        <f t="shared" si="3"/>
        <v>Dimsum Kepiting</v>
      </c>
    </row>
    <row r="55" spans="1:11" x14ac:dyDescent="0.25">
      <c r="A55" s="1" t="s">
        <v>50</v>
      </c>
      <c r="B55" t="s">
        <v>12</v>
      </c>
      <c r="C55" t="s">
        <v>9</v>
      </c>
      <c r="D55">
        <v>10</v>
      </c>
      <c r="E55">
        <v>18000</v>
      </c>
      <c r="F55" t="str">
        <f t="shared" si="0"/>
        <v>D 80000</v>
      </c>
      <c r="G55">
        <v>180000</v>
      </c>
      <c r="H55" t="s">
        <v>18</v>
      </c>
      <c r="I55" t="str">
        <f t="shared" si="1"/>
        <v>Dimsum Udang = 18000</v>
      </c>
      <c r="J55">
        <f t="shared" si="2"/>
        <v>12</v>
      </c>
      <c r="K55" t="str">
        <f t="shared" si="3"/>
        <v>Dimsum Udang</v>
      </c>
    </row>
    <row r="56" spans="1:11" x14ac:dyDescent="0.25">
      <c r="A56" s="1" t="s">
        <v>51</v>
      </c>
      <c r="B56" t="s">
        <v>26</v>
      </c>
      <c r="C56" t="s">
        <v>9</v>
      </c>
      <c r="D56">
        <v>20</v>
      </c>
      <c r="E56">
        <v>15000</v>
      </c>
      <c r="F56" t="str">
        <f t="shared" si="0"/>
        <v>D 00000</v>
      </c>
      <c r="G56">
        <v>300000</v>
      </c>
      <c r="H56" t="s">
        <v>18</v>
      </c>
      <c r="I56" t="str">
        <f t="shared" si="1"/>
        <v>Dimsum Kepiting = 15000</v>
      </c>
      <c r="J56">
        <f t="shared" si="2"/>
        <v>15</v>
      </c>
      <c r="K56" t="str">
        <f t="shared" si="3"/>
        <v>Dimsum Kepiting</v>
      </c>
    </row>
    <row r="57" spans="1:11" x14ac:dyDescent="0.25">
      <c r="A57" s="1" t="s">
        <v>52</v>
      </c>
      <c r="B57" t="s">
        <v>22</v>
      </c>
      <c r="C57" t="s">
        <v>9</v>
      </c>
      <c r="D57">
        <v>6</v>
      </c>
      <c r="E57">
        <v>12000</v>
      </c>
      <c r="F57" t="str">
        <f t="shared" si="0"/>
        <v>D 2000</v>
      </c>
      <c r="G57">
        <v>72000</v>
      </c>
      <c r="H57" t="s">
        <v>13</v>
      </c>
      <c r="I57" t="str">
        <f t="shared" si="1"/>
        <v>Dimsum Nori = 12000</v>
      </c>
      <c r="J57">
        <f t="shared" si="2"/>
        <v>11</v>
      </c>
      <c r="K57" t="str">
        <f t="shared" si="3"/>
        <v>Dimsum Nori</v>
      </c>
    </row>
    <row r="58" spans="1:11" x14ac:dyDescent="0.25">
      <c r="A58" s="1" t="s">
        <v>53</v>
      </c>
      <c r="B58" t="s">
        <v>8</v>
      </c>
      <c r="C58" t="s">
        <v>9</v>
      </c>
      <c r="D58">
        <v>6</v>
      </c>
      <c r="E58">
        <v>20000</v>
      </c>
      <c r="F58" t="str">
        <f t="shared" si="0"/>
        <v>D 20000</v>
      </c>
      <c r="G58">
        <v>120000</v>
      </c>
      <c r="H58" t="s">
        <v>18</v>
      </c>
      <c r="I58" t="str">
        <f t="shared" si="1"/>
        <v>Dimsum Ayam = 20000</v>
      </c>
      <c r="J58">
        <f t="shared" si="2"/>
        <v>11</v>
      </c>
      <c r="K58" t="str">
        <f t="shared" si="3"/>
        <v>Dimsum Ayam</v>
      </c>
    </row>
    <row r="59" spans="1:11" x14ac:dyDescent="0.25">
      <c r="A59" s="1" t="s">
        <v>28</v>
      </c>
      <c r="B59" t="s">
        <v>12</v>
      </c>
      <c r="C59" t="s">
        <v>9</v>
      </c>
      <c r="D59">
        <v>10</v>
      </c>
      <c r="E59">
        <v>20000</v>
      </c>
      <c r="F59" t="str">
        <f t="shared" si="0"/>
        <v>D 00000</v>
      </c>
      <c r="G59">
        <v>200000</v>
      </c>
      <c r="H59" t="s">
        <v>18</v>
      </c>
      <c r="I59" t="str">
        <f t="shared" si="1"/>
        <v>Dimsum Udang = 20000</v>
      </c>
      <c r="J59">
        <f t="shared" si="2"/>
        <v>12</v>
      </c>
      <c r="K59" t="str">
        <f t="shared" si="3"/>
        <v>Dimsum Udang</v>
      </c>
    </row>
    <row r="60" spans="1:11" x14ac:dyDescent="0.25">
      <c r="A60" s="1" t="s">
        <v>54</v>
      </c>
      <c r="B60" t="s">
        <v>8</v>
      </c>
      <c r="C60" t="s">
        <v>9</v>
      </c>
      <c r="D60">
        <v>6</v>
      </c>
      <c r="E60">
        <v>12000</v>
      </c>
      <c r="F60" t="str">
        <f t="shared" si="0"/>
        <v>D 2000</v>
      </c>
      <c r="G60">
        <v>72000</v>
      </c>
      <c r="H60" t="s">
        <v>20</v>
      </c>
      <c r="I60" t="str">
        <f t="shared" si="1"/>
        <v>Dimsum Ayam = 12000</v>
      </c>
      <c r="J60">
        <f t="shared" si="2"/>
        <v>11</v>
      </c>
      <c r="K60" t="str">
        <f t="shared" si="3"/>
        <v>Dimsum Ayam</v>
      </c>
    </row>
    <row r="61" spans="1:11" x14ac:dyDescent="0.25">
      <c r="A61" s="1" t="s">
        <v>40</v>
      </c>
      <c r="B61" t="s">
        <v>22</v>
      </c>
      <c r="C61" t="s">
        <v>9</v>
      </c>
      <c r="D61">
        <v>6</v>
      </c>
      <c r="E61">
        <v>20000</v>
      </c>
      <c r="F61" t="str">
        <f t="shared" si="0"/>
        <v>D 20000</v>
      </c>
      <c r="G61">
        <v>120000</v>
      </c>
      <c r="H61" t="s">
        <v>13</v>
      </c>
      <c r="I61" t="str">
        <f t="shared" si="1"/>
        <v>Dimsum Nori = 20000</v>
      </c>
      <c r="J61">
        <f t="shared" si="2"/>
        <v>11</v>
      </c>
      <c r="K61" t="str">
        <f t="shared" si="3"/>
        <v>Dimsum Nori</v>
      </c>
    </row>
    <row r="62" spans="1:11" x14ac:dyDescent="0.25">
      <c r="A62" s="1" t="s">
        <v>54</v>
      </c>
      <c r="B62" t="s">
        <v>22</v>
      </c>
      <c r="C62" t="s">
        <v>9</v>
      </c>
      <c r="D62">
        <v>17</v>
      </c>
      <c r="E62">
        <v>20000</v>
      </c>
      <c r="F62" t="str">
        <f t="shared" si="0"/>
        <v>D 40000</v>
      </c>
      <c r="G62">
        <v>340000</v>
      </c>
      <c r="H62" t="s">
        <v>13</v>
      </c>
      <c r="I62" t="str">
        <f t="shared" si="1"/>
        <v>Dimsum Nori = 20000</v>
      </c>
      <c r="J62">
        <f t="shared" si="2"/>
        <v>11</v>
      </c>
      <c r="K62" t="str">
        <f t="shared" si="3"/>
        <v>Dimsum Nori</v>
      </c>
    </row>
    <row r="63" spans="1:11" x14ac:dyDescent="0.25">
      <c r="A63" s="1" t="s">
        <v>47</v>
      </c>
      <c r="B63" t="s">
        <v>26</v>
      </c>
      <c r="C63" t="s">
        <v>9</v>
      </c>
      <c r="D63">
        <v>10</v>
      </c>
      <c r="E63">
        <v>20000</v>
      </c>
      <c r="F63" t="str">
        <f t="shared" si="0"/>
        <v>D 00000</v>
      </c>
      <c r="G63">
        <v>200000</v>
      </c>
      <c r="H63" t="s">
        <v>10</v>
      </c>
      <c r="I63" t="str">
        <f t="shared" si="1"/>
        <v>Dimsum Kepiting = 20000</v>
      </c>
      <c r="J63">
        <f t="shared" si="2"/>
        <v>15</v>
      </c>
      <c r="K63" t="str">
        <f t="shared" si="3"/>
        <v>Dimsum Kepiting</v>
      </c>
    </row>
    <row r="64" spans="1:11" x14ac:dyDescent="0.25">
      <c r="A64" s="1" t="s">
        <v>34</v>
      </c>
      <c r="B64" t="s">
        <v>8</v>
      </c>
      <c r="C64" t="s">
        <v>9</v>
      </c>
      <c r="D64">
        <v>10</v>
      </c>
      <c r="E64">
        <v>18000</v>
      </c>
      <c r="F64" t="str">
        <f t="shared" si="0"/>
        <v>D 80000</v>
      </c>
      <c r="G64">
        <v>180000</v>
      </c>
      <c r="H64" t="s">
        <v>10</v>
      </c>
      <c r="I64" t="str">
        <f t="shared" si="1"/>
        <v>Dimsum Ayam = 18000</v>
      </c>
      <c r="J64">
        <f t="shared" si="2"/>
        <v>11</v>
      </c>
      <c r="K64" t="str">
        <f t="shared" si="3"/>
        <v>Dimsum Ayam</v>
      </c>
    </row>
    <row r="65" spans="1:11" x14ac:dyDescent="0.25">
      <c r="A65" s="1" t="s">
        <v>55</v>
      </c>
      <c r="B65" t="s">
        <v>22</v>
      </c>
      <c r="C65" t="s">
        <v>9</v>
      </c>
      <c r="D65">
        <v>4</v>
      </c>
      <c r="E65">
        <v>12000</v>
      </c>
      <c r="F65" t="str">
        <f t="shared" si="0"/>
        <v>D 8000</v>
      </c>
      <c r="G65">
        <v>48000</v>
      </c>
      <c r="H65" t="s">
        <v>20</v>
      </c>
      <c r="I65" t="str">
        <f t="shared" si="1"/>
        <v>Dimsum Nori = 12000</v>
      </c>
      <c r="J65">
        <f t="shared" si="2"/>
        <v>11</v>
      </c>
      <c r="K65" t="str">
        <f t="shared" si="3"/>
        <v>Dimsum Nori</v>
      </c>
    </row>
    <row r="66" spans="1:11" x14ac:dyDescent="0.25">
      <c r="A66" s="1" t="s">
        <v>46</v>
      </c>
      <c r="B66" t="s">
        <v>22</v>
      </c>
      <c r="C66" t="s">
        <v>9</v>
      </c>
      <c r="D66">
        <v>14</v>
      </c>
      <c r="E66">
        <v>18000</v>
      </c>
      <c r="F66" t="str">
        <f t="shared" si="0"/>
        <v>D 52000</v>
      </c>
      <c r="G66">
        <v>252000</v>
      </c>
      <c r="H66" t="s">
        <v>13</v>
      </c>
      <c r="I66" t="str">
        <f t="shared" si="1"/>
        <v>Dimsum Nori = 18000</v>
      </c>
      <c r="J66">
        <f t="shared" si="2"/>
        <v>11</v>
      </c>
      <c r="K66" t="str">
        <f t="shared" si="3"/>
        <v>Dimsum Nori</v>
      </c>
    </row>
    <row r="67" spans="1:11" x14ac:dyDescent="0.25">
      <c r="A67" s="1" t="s">
        <v>31</v>
      </c>
      <c r="B67" t="s">
        <v>26</v>
      </c>
      <c r="C67" t="s">
        <v>9</v>
      </c>
      <c r="D67">
        <v>17</v>
      </c>
      <c r="E67">
        <v>15000</v>
      </c>
      <c r="F67" t="str">
        <f t="shared" ref="F67:F130" si="4">REPLACE(G67,1,1,"D ")</f>
        <v>D 55000</v>
      </c>
      <c r="G67">
        <v>255000</v>
      </c>
      <c r="H67" t="s">
        <v>13</v>
      </c>
      <c r="I67" t="str">
        <f t="shared" ref="I67:I130" si="5">CONCATENATE(B67, " = ", E67)</f>
        <v>Dimsum Kepiting = 15000</v>
      </c>
      <c r="J67">
        <f t="shared" ref="J67:J130" si="6">LEN(B67)</f>
        <v>15</v>
      </c>
      <c r="K67" t="str">
        <f t="shared" ref="K67:K130" si="7">TRIM(B67)</f>
        <v>Dimsum Kepiting</v>
      </c>
    </row>
    <row r="68" spans="1:11" x14ac:dyDescent="0.25">
      <c r="A68" s="1" t="s">
        <v>56</v>
      </c>
      <c r="B68" t="s">
        <v>22</v>
      </c>
      <c r="C68" t="s">
        <v>9</v>
      </c>
      <c r="D68">
        <v>16</v>
      </c>
      <c r="E68">
        <v>12000</v>
      </c>
      <c r="F68" t="str">
        <f t="shared" si="4"/>
        <v>D 92000</v>
      </c>
      <c r="G68">
        <v>192000</v>
      </c>
      <c r="H68" t="s">
        <v>10</v>
      </c>
      <c r="I68" t="str">
        <f t="shared" si="5"/>
        <v>Dimsum Nori = 12000</v>
      </c>
      <c r="J68">
        <f t="shared" si="6"/>
        <v>11</v>
      </c>
      <c r="K68" t="str">
        <f t="shared" si="7"/>
        <v>Dimsum Nori</v>
      </c>
    </row>
    <row r="69" spans="1:11" x14ac:dyDescent="0.25">
      <c r="A69" s="1" t="s">
        <v>57</v>
      </c>
      <c r="B69" t="s">
        <v>22</v>
      </c>
      <c r="C69" t="s">
        <v>9</v>
      </c>
      <c r="D69">
        <v>18</v>
      </c>
      <c r="E69">
        <v>20000</v>
      </c>
      <c r="F69" t="str">
        <f t="shared" si="4"/>
        <v>D 60000</v>
      </c>
      <c r="G69">
        <v>360000</v>
      </c>
      <c r="H69" t="s">
        <v>13</v>
      </c>
      <c r="I69" t="str">
        <f t="shared" si="5"/>
        <v>Dimsum Nori = 20000</v>
      </c>
      <c r="J69">
        <f t="shared" si="6"/>
        <v>11</v>
      </c>
      <c r="K69" t="str">
        <f t="shared" si="7"/>
        <v>Dimsum Nori</v>
      </c>
    </row>
    <row r="70" spans="1:11" x14ac:dyDescent="0.25">
      <c r="A70" s="1" t="s">
        <v>21</v>
      </c>
      <c r="B70" t="s">
        <v>8</v>
      </c>
      <c r="C70" t="s">
        <v>9</v>
      </c>
      <c r="D70">
        <v>12</v>
      </c>
      <c r="E70">
        <v>18000</v>
      </c>
      <c r="F70" t="str">
        <f t="shared" si="4"/>
        <v>D 16000</v>
      </c>
      <c r="G70">
        <v>216000</v>
      </c>
      <c r="H70" t="s">
        <v>10</v>
      </c>
      <c r="I70" t="str">
        <f t="shared" si="5"/>
        <v>Dimsum Ayam = 18000</v>
      </c>
      <c r="J70">
        <f t="shared" si="6"/>
        <v>11</v>
      </c>
      <c r="K70" t="str">
        <f t="shared" si="7"/>
        <v>Dimsum Ayam</v>
      </c>
    </row>
    <row r="71" spans="1:11" x14ac:dyDescent="0.25">
      <c r="A71" s="1" t="s">
        <v>58</v>
      </c>
      <c r="B71" t="s">
        <v>16</v>
      </c>
      <c r="C71" t="s">
        <v>9</v>
      </c>
      <c r="D71">
        <v>6</v>
      </c>
      <c r="E71">
        <v>18000</v>
      </c>
      <c r="F71" t="str">
        <f t="shared" si="4"/>
        <v>D 08000</v>
      </c>
      <c r="G71">
        <v>108000</v>
      </c>
      <c r="H71" t="s">
        <v>13</v>
      </c>
      <c r="I71" t="str">
        <f t="shared" si="5"/>
        <v>Dimsum Ayam Jamur = 18000</v>
      </c>
      <c r="J71">
        <f t="shared" si="6"/>
        <v>17</v>
      </c>
      <c r="K71" t="str">
        <f t="shared" si="7"/>
        <v>Dimsum Ayam Jamur</v>
      </c>
    </row>
    <row r="72" spans="1:11" x14ac:dyDescent="0.25">
      <c r="A72" s="1" t="s">
        <v>52</v>
      </c>
      <c r="B72" t="s">
        <v>8</v>
      </c>
      <c r="C72" t="s">
        <v>9</v>
      </c>
      <c r="D72">
        <v>19</v>
      </c>
      <c r="E72">
        <v>20000</v>
      </c>
      <c r="F72" t="str">
        <f t="shared" si="4"/>
        <v>D 80000</v>
      </c>
      <c r="G72">
        <v>380000</v>
      </c>
      <c r="H72" t="s">
        <v>18</v>
      </c>
      <c r="I72" t="str">
        <f t="shared" si="5"/>
        <v>Dimsum Ayam = 20000</v>
      </c>
      <c r="J72">
        <f t="shared" si="6"/>
        <v>11</v>
      </c>
      <c r="K72" t="str">
        <f t="shared" si="7"/>
        <v>Dimsum Ayam</v>
      </c>
    </row>
    <row r="73" spans="1:11" x14ac:dyDescent="0.25">
      <c r="A73" s="1" t="s">
        <v>59</v>
      </c>
      <c r="B73" t="s">
        <v>26</v>
      </c>
      <c r="C73" t="s">
        <v>9</v>
      </c>
      <c r="D73">
        <v>3</v>
      </c>
      <c r="E73">
        <v>18000</v>
      </c>
      <c r="F73" t="str">
        <f t="shared" si="4"/>
        <v>D 4000</v>
      </c>
      <c r="G73">
        <v>54000</v>
      </c>
      <c r="H73" t="s">
        <v>10</v>
      </c>
      <c r="I73" t="str">
        <f t="shared" si="5"/>
        <v>Dimsum Kepiting = 18000</v>
      </c>
      <c r="J73">
        <f t="shared" si="6"/>
        <v>15</v>
      </c>
      <c r="K73" t="str">
        <f t="shared" si="7"/>
        <v>Dimsum Kepiting</v>
      </c>
    </row>
    <row r="74" spans="1:11" x14ac:dyDescent="0.25">
      <c r="A74" s="1" t="s">
        <v>60</v>
      </c>
      <c r="B74" t="s">
        <v>26</v>
      </c>
      <c r="C74" t="s">
        <v>9</v>
      </c>
      <c r="D74">
        <v>10</v>
      </c>
      <c r="E74">
        <v>12000</v>
      </c>
      <c r="F74" t="str">
        <f t="shared" si="4"/>
        <v>D 20000</v>
      </c>
      <c r="G74">
        <v>120000</v>
      </c>
      <c r="H74" t="s">
        <v>10</v>
      </c>
      <c r="I74" t="str">
        <f t="shared" si="5"/>
        <v>Dimsum Kepiting = 12000</v>
      </c>
      <c r="J74">
        <f t="shared" si="6"/>
        <v>15</v>
      </c>
      <c r="K74" t="str">
        <f t="shared" si="7"/>
        <v>Dimsum Kepiting</v>
      </c>
    </row>
    <row r="75" spans="1:11" x14ac:dyDescent="0.25">
      <c r="A75" s="1" t="s">
        <v>61</v>
      </c>
      <c r="B75" t="s">
        <v>12</v>
      </c>
      <c r="C75" t="s">
        <v>9</v>
      </c>
      <c r="D75">
        <v>2</v>
      </c>
      <c r="E75">
        <v>18000</v>
      </c>
      <c r="F75" t="str">
        <f t="shared" si="4"/>
        <v>D 6000</v>
      </c>
      <c r="G75">
        <v>36000</v>
      </c>
      <c r="H75" t="s">
        <v>18</v>
      </c>
      <c r="I75" t="str">
        <f t="shared" si="5"/>
        <v>Dimsum Udang = 18000</v>
      </c>
      <c r="J75">
        <f t="shared" si="6"/>
        <v>12</v>
      </c>
      <c r="K75" t="str">
        <f t="shared" si="7"/>
        <v>Dimsum Udang</v>
      </c>
    </row>
    <row r="76" spans="1:11" x14ac:dyDescent="0.25">
      <c r="A76" s="1" t="s">
        <v>23</v>
      </c>
      <c r="B76" t="s">
        <v>16</v>
      </c>
      <c r="C76" t="s">
        <v>9</v>
      </c>
      <c r="D76">
        <v>8</v>
      </c>
      <c r="E76">
        <v>18000</v>
      </c>
      <c r="F76" t="str">
        <f t="shared" si="4"/>
        <v>D 44000</v>
      </c>
      <c r="G76">
        <v>144000</v>
      </c>
      <c r="H76" t="s">
        <v>10</v>
      </c>
      <c r="I76" t="str">
        <f t="shared" si="5"/>
        <v>Dimsum Ayam Jamur = 18000</v>
      </c>
      <c r="J76">
        <f t="shared" si="6"/>
        <v>17</v>
      </c>
      <c r="K76" t="str">
        <f t="shared" si="7"/>
        <v>Dimsum Ayam Jamur</v>
      </c>
    </row>
    <row r="77" spans="1:11" x14ac:dyDescent="0.25">
      <c r="A77" s="1" t="s">
        <v>56</v>
      </c>
      <c r="B77" t="s">
        <v>26</v>
      </c>
      <c r="C77" t="s">
        <v>9</v>
      </c>
      <c r="D77">
        <v>6</v>
      </c>
      <c r="E77">
        <v>18000</v>
      </c>
      <c r="F77" t="str">
        <f t="shared" si="4"/>
        <v>D 08000</v>
      </c>
      <c r="G77">
        <v>108000</v>
      </c>
      <c r="H77" t="s">
        <v>18</v>
      </c>
      <c r="I77" t="str">
        <f t="shared" si="5"/>
        <v>Dimsum Kepiting = 18000</v>
      </c>
      <c r="J77">
        <f t="shared" si="6"/>
        <v>15</v>
      </c>
      <c r="K77" t="str">
        <f t="shared" si="7"/>
        <v>Dimsum Kepiting</v>
      </c>
    </row>
    <row r="78" spans="1:11" x14ac:dyDescent="0.25">
      <c r="A78" s="1" t="s">
        <v>62</v>
      </c>
      <c r="B78" t="s">
        <v>16</v>
      </c>
      <c r="C78" t="s">
        <v>9</v>
      </c>
      <c r="D78">
        <v>12</v>
      </c>
      <c r="E78">
        <v>18000</v>
      </c>
      <c r="F78" t="str">
        <f t="shared" si="4"/>
        <v>D 16000</v>
      </c>
      <c r="G78">
        <v>216000</v>
      </c>
      <c r="H78" t="s">
        <v>18</v>
      </c>
      <c r="I78" t="str">
        <f t="shared" si="5"/>
        <v>Dimsum Ayam Jamur = 18000</v>
      </c>
      <c r="J78">
        <f t="shared" si="6"/>
        <v>17</v>
      </c>
      <c r="K78" t="str">
        <f t="shared" si="7"/>
        <v>Dimsum Ayam Jamur</v>
      </c>
    </row>
    <row r="79" spans="1:11" x14ac:dyDescent="0.25">
      <c r="A79" s="1" t="s">
        <v>48</v>
      </c>
      <c r="B79" t="s">
        <v>12</v>
      </c>
      <c r="C79" t="s">
        <v>9</v>
      </c>
      <c r="D79">
        <v>5</v>
      </c>
      <c r="E79">
        <v>12000</v>
      </c>
      <c r="F79" t="str">
        <f t="shared" si="4"/>
        <v>D 0000</v>
      </c>
      <c r="G79">
        <v>60000</v>
      </c>
      <c r="H79" t="s">
        <v>10</v>
      </c>
      <c r="I79" t="str">
        <f t="shared" si="5"/>
        <v>Dimsum Udang = 12000</v>
      </c>
      <c r="J79">
        <f t="shared" si="6"/>
        <v>12</v>
      </c>
      <c r="K79" t="str">
        <f t="shared" si="7"/>
        <v>Dimsum Udang</v>
      </c>
    </row>
    <row r="80" spans="1:11" x14ac:dyDescent="0.25">
      <c r="A80" s="1" t="s">
        <v>63</v>
      </c>
      <c r="B80" t="s">
        <v>26</v>
      </c>
      <c r="C80" t="s">
        <v>9</v>
      </c>
      <c r="D80">
        <v>13</v>
      </c>
      <c r="E80">
        <v>12000</v>
      </c>
      <c r="F80" t="str">
        <f t="shared" si="4"/>
        <v>D 56000</v>
      </c>
      <c r="G80">
        <v>156000</v>
      </c>
      <c r="H80" t="s">
        <v>13</v>
      </c>
      <c r="I80" t="str">
        <f t="shared" si="5"/>
        <v>Dimsum Kepiting = 12000</v>
      </c>
      <c r="J80">
        <f t="shared" si="6"/>
        <v>15</v>
      </c>
      <c r="K80" t="str">
        <f t="shared" si="7"/>
        <v>Dimsum Kepiting</v>
      </c>
    </row>
    <row r="81" spans="1:11" x14ac:dyDescent="0.25">
      <c r="A81" s="1" t="s">
        <v>64</v>
      </c>
      <c r="B81" t="s">
        <v>16</v>
      </c>
      <c r="C81" t="s">
        <v>9</v>
      </c>
      <c r="D81">
        <v>18</v>
      </c>
      <c r="E81">
        <v>15000</v>
      </c>
      <c r="F81" t="str">
        <f t="shared" si="4"/>
        <v>D 70000</v>
      </c>
      <c r="G81">
        <v>270000</v>
      </c>
      <c r="H81" t="s">
        <v>10</v>
      </c>
      <c r="I81" t="str">
        <f t="shared" si="5"/>
        <v>Dimsum Ayam Jamur = 15000</v>
      </c>
      <c r="J81">
        <f t="shared" si="6"/>
        <v>17</v>
      </c>
      <c r="K81" t="str">
        <f t="shared" si="7"/>
        <v>Dimsum Ayam Jamur</v>
      </c>
    </row>
    <row r="82" spans="1:11" x14ac:dyDescent="0.25">
      <c r="A82" s="1" t="s">
        <v>38</v>
      </c>
      <c r="B82" t="s">
        <v>16</v>
      </c>
      <c r="C82" t="s">
        <v>9</v>
      </c>
      <c r="D82">
        <v>16</v>
      </c>
      <c r="E82">
        <v>12000</v>
      </c>
      <c r="F82" t="str">
        <f t="shared" si="4"/>
        <v>D 92000</v>
      </c>
      <c r="G82">
        <v>192000</v>
      </c>
      <c r="H82" t="s">
        <v>10</v>
      </c>
      <c r="I82" t="str">
        <f t="shared" si="5"/>
        <v>Dimsum Ayam Jamur = 12000</v>
      </c>
      <c r="J82">
        <f t="shared" si="6"/>
        <v>17</v>
      </c>
      <c r="K82" t="str">
        <f t="shared" si="7"/>
        <v>Dimsum Ayam Jamur</v>
      </c>
    </row>
    <row r="83" spans="1:11" x14ac:dyDescent="0.25">
      <c r="A83" s="1" t="s">
        <v>65</v>
      </c>
      <c r="B83" t="s">
        <v>16</v>
      </c>
      <c r="C83" t="s">
        <v>9</v>
      </c>
      <c r="D83">
        <v>12</v>
      </c>
      <c r="E83">
        <v>18000</v>
      </c>
      <c r="F83" t="str">
        <f t="shared" si="4"/>
        <v>D 16000</v>
      </c>
      <c r="G83">
        <v>216000</v>
      </c>
      <c r="H83" t="s">
        <v>10</v>
      </c>
      <c r="I83" t="str">
        <f t="shared" si="5"/>
        <v>Dimsum Ayam Jamur = 18000</v>
      </c>
      <c r="J83">
        <f t="shared" si="6"/>
        <v>17</v>
      </c>
      <c r="K83" t="str">
        <f t="shared" si="7"/>
        <v>Dimsum Ayam Jamur</v>
      </c>
    </row>
    <row r="84" spans="1:11" x14ac:dyDescent="0.25">
      <c r="A84" s="1" t="s">
        <v>66</v>
      </c>
      <c r="B84" t="s">
        <v>22</v>
      </c>
      <c r="C84" t="s">
        <v>9</v>
      </c>
      <c r="D84">
        <v>15</v>
      </c>
      <c r="E84">
        <v>18000</v>
      </c>
      <c r="F84" t="str">
        <f t="shared" si="4"/>
        <v>D 70000</v>
      </c>
      <c r="G84">
        <v>270000</v>
      </c>
      <c r="H84" t="s">
        <v>18</v>
      </c>
      <c r="I84" t="str">
        <f t="shared" si="5"/>
        <v>Dimsum Nori = 18000</v>
      </c>
      <c r="J84">
        <f t="shared" si="6"/>
        <v>11</v>
      </c>
      <c r="K84" t="str">
        <f t="shared" si="7"/>
        <v>Dimsum Nori</v>
      </c>
    </row>
    <row r="85" spans="1:11" x14ac:dyDescent="0.25">
      <c r="A85" s="1" t="s">
        <v>67</v>
      </c>
      <c r="B85" t="s">
        <v>16</v>
      </c>
      <c r="C85" t="s">
        <v>9</v>
      </c>
      <c r="D85">
        <v>12</v>
      </c>
      <c r="E85">
        <v>18000</v>
      </c>
      <c r="F85" t="str">
        <f t="shared" si="4"/>
        <v>D 16000</v>
      </c>
      <c r="G85">
        <v>216000</v>
      </c>
      <c r="H85" t="s">
        <v>13</v>
      </c>
      <c r="I85" t="str">
        <f t="shared" si="5"/>
        <v>Dimsum Ayam Jamur = 18000</v>
      </c>
      <c r="J85">
        <f t="shared" si="6"/>
        <v>17</v>
      </c>
      <c r="K85" t="str">
        <f t="shared" si="7"/>
        <v>Dimsum Ayam Jamur</v>
      </c>
    </row>
    <row r="86" spans="1:11" x14ac:dyDescent="0.25">
      <c r="A86" s="1" t="s">
        <v>68</v>
      </c>
      <c r="B86" t="s">
        <v>8</v>
      </c>
      <c r="C86" t="s">
        <v>9</v>
      </c>
      <c r="D86">
        <v>7</v>
      </c>
      <c r="E86">
        <v>18000</v>
      </c>
      <c r="F86" t="str">
        <f t="shared" si="4"/>
        <v>D 26000</v>
      </c>
      <c r="G86">
        <v>126000</v>
      </c>
      <c r="H86" t="s">
        <v>10</v>
      </c>
      <c r="I86" t="str">
        <f t="shared" si="5"/>
        <v>Dimsum Ayam = 18000</v>
      </c>
      <c r="J86">
        <f t="shared" si="6"/>
        <v>11</v>
      </c>
      <c r="K86" t="str">
        <f t="shared" si="7"/>
        <v>Dimsum Ayam</v>
      </c>
    </row>
    <row r="87" spans="1:11" x14ac:dyDescent="0.25">
      <c r="A87" s="1" t="s">
        <v>65</v>
      </c>
      <c r="B87" t="s">
        <v>8</v>
      </c>
      <c r="C87" t="s">
        <v>9</v>
      </c>
      <c r="D87">
        <v>12</v>
      </c>
      <c r="E87">
        <v>12000</v>
      </c>
      <c r="F87" t="str">
        <f t="shared" si="4"/>
        <v>D 44000</v>
      </c>
      <c r="G87">
        <v>144000</v>
      </c>
      <c r="H87" t="s">
        <v>10</v>
      </c>
      <c r="I87" t="str">
        <f t="shared" si="5"/>
        <v>Dimsum Ayam = 12000</v>
      </c>
      <c r="J87">
        <f t="shared" si="6"/>
        <v>11</v>
      </c>
      <c r="K87" t="str">
        <f t="shared" si="7"/>
        <v>Dimsum Ayam</v>
      </c>
    </row>
    <row r="88" spans="1:11" x14ac:dyDescent="0.25">
      <c r="A88" s="1" t="s">
        <v>69</v>
      </c>
      <c r="B88" t="s">
        <v>16</v>
      </c>
      <c r="C88" t="s">
        <v>9</v>
      </c>
      <c r="D88">
        <v>5</v>
      </c>
      <c r="E88">
        <v>12000</v>
      </c>
      <c r="F88" t="str">
        <f t="shared" si="4"/>
        <v>D 0000</v>
      </c>
      <c r="G88">
        <v>60000</v>
      </c>
      <c r="H88" t="s">
        <v>20</v>
      </c>
      <c r="I88" t="str">
        <f t="shared" si="5"/>
        <v>Dimsum Ayam Jamur = 12000</v>
      </c>
      <c r="J88">
        <f t="shared" si="6"/>
        <v>17</v>
      </c>
      <c r="K88" t="str">
        <f t="shared" si="7"/>
        <v>Dimsum Ayam Jamur</v>
      </c>
    </row>
    <row r="89" spans="1:11" x14ac:dyDescent="0.25">
      <c r="A89" s="1" t="s">
        <v>39</v>
      </c>
      <c r="B89" t="s">
        <v>12</v>
      </c>
      <c r="C89" t="s">
        <v>9</v>
      </c>
      <c r="D89">
        <v>13</v>
      </c>
      <c r="E89">
        <v>15000</v>
      </c>
      <c r="F89" t="str">
        <f t="shared" si="4"/>
        <v>D 95000</v>
      </c>
      <c r="G89">
        <v>195000</v>
      </c>
      <c r="H89" t="s">
        <v>18</v>
      </c>
      <c r="I89" t="str">
        <f t="shared" si="5"/>
        <v>Dimsum Udang = 15000</v>
      </c>
      <c r="J89">
        <f t="shared" si="6"/>
        <v>12</v>
      </c>
      <c r="K89" t="str">
        <f t="shared" si="7"/>
        <v>Dimsum Udang</v>
      </c>
    </row>
    <row r="90" spans="1:11" x14ac:dyDescent="0.25">
      <c r="A90" s="1" t="s">
        <v>11</v>
      </c>
      <c r="B90" t="s">
        <v>16</v>
      </c>
      <c r="C90" t="s">
        <v>9</v>
      </c>
      <c r="D90">
        <v>2</v>
      </c>
      <c r="E90">
        <v>15000</v>
      </c>
      <c r="F90" t="str">
        <f t="shared" si="4"/>
        <v>D 0000</v>
      </c>
      <c r="G90">
        <v>30000</v>
      </c>
      <c r="H90" t="s">
        <v>13</v>
      </c>
      <c r="I90" t="str">
        <f t="shared" si="5"/>
        <v>Dimsum Ayam Jamur = 15000</v>
      </c>
      <c r="J90">
        <f t="shared" si="6"/>
        <v>17</v>
      </c>
      <c r="K90" t="str">
        <f t="shared" si="7"/>
        <v>Dimsum Ayam Jamur</v>
      </c>
    </row>
    <row r="91" spans="1:11" x14ac:dyDescent="0.25">
      <c r="A91" s="1" t="s">
        <v>70</v>
      </c>
      <c r="B91" t="s">
        <v>22</v>
      </c>
      <c r="C91" t="s">
        <v>9</v>
      </c>
      <c r="D91">
        <v>12</v>
      </c>
      <c r="E91">
        <v>12000</v>
      </c>
      <c r="F91" t="str">
        <f t="shared" si="4"/>
        <v>D 44000</v>
      </c>
      <c r="G91">
        <v>144000</v>
      </c>
      <c r="H91" t="s">
        <v>20</v>
      </c>
      <c r="I91" t="str">
        <f t="shared" si="5"/>
        <v>Dimsum Nori = 12000</v>
      </c>
      <c r="J91">
        <f t="shared" si="6"/>
        <v>11</v>
      </c>
      <c r="K91" t="str">
        <f t="shared" si="7"/>
        <v>Dimsum Nori</v>
      </c>
    </row>
    <row r="92" spans="1:11" x14ac:dyDescent="0.25">
      <c r="A92" s="1" t="s">
        <v>37</v>
      </c>
      <c r="B92" t="s">
        <v>12</v>
      </c>
      <c r="C92" t="s">
        <v>9</v>
      </c>
      <c r="D92">
        <v>8</v>
      </c>
      <c r="E92">
        <v>12000</v>
      </c>
      <c r="F92" t="str">
        <f t="shared" si="4"/>
        <v>D 6000</v>
      </c>
      <c r="G92">
        <v>96000</v>
      </c>
      <c r="H92" t="s">
        <v>10</v>
      </c>
      <c r="I92" t="str">
        <f t="shared" si="5"/>
        <v>Dimsum Udang = 12000</v>
      </c>
      <c r="J92">
        <f t="shared" si="6"/>
        <v>12</v>
      </c>
      <c r="K92" t="str">
        <f t="shared" si="7"/>
        <v>Dimsum Udang</v>
      </c>
    </row>
    <row r="93" spans="1:11" x14ac:dyDescent="0.25">
      <c r="A93" s="1" t="s">
        <v>33</v>
      </c>
      <c r="B93" t="s">
        <v>26</v>
      </c>
      <c r="C93" t="s">
        <v>9</v>
      </c>
      <c r="D93">
        <v>8</v>
      </c>
      <c r="E93">
        <v>15000</v>
      </c>
      <c r="F93" t="str">
        <f t="shared" si="4"/>
        <v>D 20000</v>
      </c>
      <c r="G93">
        <v>120000</v>
      </c>
      <c r="H93" t="s">
        <v>10</v>
      </c>
      <c r="I93" t="str">
        <f t="shared" si="5"/>
        <v>Dimsum Kepiting = 15000</v>
      </c>
      <c r="J93">
        <f t="shared" si="6"/>
        <v>15</v>
      </c>
      <c r="K93" t="str">
        <f t="shared" si="7"/>
        <v>Dimsum Kepiting</v>
      </c>
    </row>
    <row r="94" spans="1:11" x14ac:dyDescent="0.25">
      <c r="A94" s="1" t="s">
        <v>71</v>
      </c>
      <c r="B94" t="s">
        <v>22</v>
      </c>
      <c r="C94" t="s">
        <v>9</v>
      </c>
      <c r="D94">
        <v>16</v>
      </c>
      <c r="E94">
        <v>18000</v>
      </c>
      <c r="F94" t="str">
        <f t="shared" si="4"/>
        <v>D 88000</v>
      </c>
      <c r="G94">
        <v>288000</v>
      </c>
      <c r="H94" t="s">
        <v>18</v>
      </c>
      <c r="I94" t="str">
        <f t="shared" si="5"/>
        <v>Dimsum Nori = 18000</v>
      </c>
      <c r="J94">
        <f t="shared" si="6"/>
        <v>11</v>
      </c>
      <c r="K94" t="str">
        <f t="shared" si="7"/>
        <v>Dimsum Nori</v>
      </c>
    </row>
    <row r="95" spans="1:11" x14ac:dyDescent="0.25">
      <c r="A95" s="1" t="s">
        <v>72</v>
      </c>
      <c r="B95" t="s">
        <v>22</v>
      </c>
      <c r="C95" t="s">
        <v>9</v>
      </c>
      <c r="D95">
        <v>1</v>
      </c>
      <c r="E95">
        <v>15000</v>
      </c>
      <c r="F95" t="str">
        <f t="shared" si="4"/>
        <v>D 5000</v>
      </c>
      <c r="G95">
        <v>15000</v>
      </c>
      <c r="H95" t="s">
        <v>13</v>
      </c>
      <c r="I95" t="str">
        <f t="shared" si="5"/>
        <v>Dimsum Nori = 15000</v>
      </c>
      <c r="J95">
        <f t="shared" si="6"/>
        <v>11</v>
      </c>
      <c r="K95" t="str">
        <f t="shared" si="7"/>
        <v>Dimsum Nori</v>
      </c>
    </row>
    <row r="96" spans="1:11" x14ac:dyDescent="0.25">
      <c r="A96" s="1" t="s">
        <v>73</v>
      </c>
      <c r="B96" t="s">
        <v>26</v>
      </c>
      <c r="C96" t="s">
        <v>9</v>
      </c>
      <c r="D96">
        <v>19</v>
      </c>
      <c r="E96">
        <v>12000</v>
      </c>
      <c r="F96" t="str">
        <f t="shared" si="4"/>
        <v>D 28000</v>
      </c>
      <c r="G96">
        <v>228000</v>
      </c>
      <c r="H96" t="s">
        <v>10</v>
      </c>
      <c r="I96" t="str">
        <f t="shared" si="5"/>
        <v>Dimsum Kepiting = 12000</v>
      </c>
      <c r="J96">
        <f t="shared" si="6"/>
        <v>15</v>
      </c>
      <c r="K96" t="str">
        <f t="shared" si="7"/>
        <v>Dimsum Kepiting</v>
      </c>
    </row>
    <row r="97" spans="1:11" x14ac:dyDescent="0.25">
      <c r="A97" s="1" t="s">
        <v>56</v>
      </c>
      <c r="B97" t="s">
        <v>22</v>
      </c>
      <c r="C97" t="s">
        <v>9</v>
      </c>
      <c r="D97">
        <v>18</v>
      </c>
      <c r="E97">
        <v>12000</v>
      </c>
      <c r="F97" t="str">
        <f t="shared" si="4"/>
        <v>D 16000</v>
      </c>
      <c r="G97">
        <v>216000</v>
      </c>
      <c r="H97" t="s">
        <v>13</v>
      </c>
      <c r="I97" t="str">
        <f t="shared" si="5"/>
        <v>Dimsum Nori = 12000</v>
      </c>
      <c r="J97">
        <f t="shared" si="6"/>
        <v>11</v>
      </c>
      <c r="K97" t="str">
        <f t="shared" si="7"/>
        <v>Dimsum Nori</v>
      </c>
    </row>
    <row r="98" spans="1:11" x14ac:dyDescent="0.25">
      <c r="A98" s="1" t="s">
        <v>19</v>
      </c>
      <c r="B98" t="s">
        <v>12</v>
      </c>
      <c r="C98" t="s">
        <v>9</v>
      </c>
      <c r="D98">
        <v>20</v>
      </c>
      <c r="E98">
        <v>18000</v>
      </c>
      <c r="F98" t="str">
        <f t="shared" si="4"/>
        <v>D 60000</v>
      </c>
      <c r="G98">
        <v>360000</v>
      </c>
      <c r="H98" t="s">
        <v>20</v>
      </c>
      <c r="I98" t="str">
        <f t="shared" si="5"/>
        <v>Dimsum Udang = 18000</v>
      </c>
      <c r="J98">
        <f t="shared" si="6"/>
        <v>12</v>
      </c>
      <c r="K98" t="str">
        <f t="shared" si="7"/>
        <v>Dimsum Udang</v>
      </c>
    </row>
    <row r="99" spans="1:11" x14ac:dyDescent="0.25">
      <c r="A99" s="1" t="s">
        <v>66</v>
      </c>
      <c r="B99" t="s">
        <v>22</v>
      </c>
      <c r="C99" t="s">
        <v>9</v>
      </c>
      <c r="D99">
        <v>7</v>
      </c>
      <c r="E99">
        <v>20000</v>
      </c>
      <c r="F99" t="str">
        <f t="shared" si="4"/>
        <v>D 40000</v>
      </c>
      <c r="G99">
        <v>140000</v>
      </c>
      <c r="H99" t="s">
        <v>13</v>
      </c>
      <c r="I99" t="str">
        <f t="shared" si="5"/>
        <v>Dimsum Nori = 20000</v>
      </c>
      <c r="J99">
        <f t="shared" si="6"/>
        <v>11</v>
      </c>
      <c r="K99" t="str">
        <f t="shared" si="7"/>
        <v>Dimsum Nori</v>
      </c>
    </row>
    <row r="100" spans="1:11" x14ac:dyDescent="0.25">
      <c r="A100" s="1" t="s">
        <v>51</v>
      </c>
      <c r="B100" t="s">
        <v>8</v>
      </c>
      <c r="C100" t="s">
        <v>9</v>
      </c>
      <c r="D100">
        <v>13</v>
      </c>
      <c r="E100">
        <v>12000</v>
      </c>
      <c r="F100" t="str">
        <f t="shared" si="4"/>
        <v>D 56000</v>
      </c>
      <c r="G100">
        <v>156000</v>
      </c>
      <c r="H100" t="s">
        <v>13</v>
      </c>
      <c r="I100" t="str">
        <f t="shared" si="5"/>
        <v>Dimsum Ayam = 12000</v>
      </c>
      <c r="J100">
        <f t="shared" si="6"/>
        <v>11</v>
      </c>
      <c r="K100" t="str">
        <f t="shared" si="7"/>
        <v>Dimsum Ayam</v>
      </c>
    </row>
    <row r="101" spans="1:11" x14ac:dyDescent="0.25">
      <c r="A101" s="1" t="s">
        <v>68</v>
      </c>
      <c r="B101" t="s">
        <v>26</v>
      </c>
      <c r="C101" t="s">
        <v>9</v>
      </c>
      <c r="D101">
        <v>6</v>
      </c>
      <c r="E101">
        <v>15000</v>
      </c>
      <c r="F101" t="str">
        <f t="shared" si="4"/>
        <v>D 0000</v>
      </c>
      <c r="G101">
        <v>90000</v>
      </c>
      <c r="H101" t="s">
        <v>10</v>
      </c>
      <c r="I101" t="str">
        <f t="shared" si="5"/>
        <v>Dimsum Kepiting = 15000</v>
      </c>
      <c r="J101">
        <f t="shared" si="6"/>
        <v>15</v>
      </c>
      <c r="K101" t="str">
        <f t="shared" si="7"/>
        <v>Dimsum Kepiting</v>
      </c>
    </row>
    <row r="102" spans="1:11" x14ac:dyDescent="0.25">
      <c r="A102" s="1" t="s">
        <v>74</v>
      </c>
      <c r="B102" t="s">
        <v>12</v>
      </c>
      <c r="C102" t="s">
        <v>9</v>
      </c>
      <c r="D102">
        <v>5</v>
      </c>
      <c r="E102">
        <v>15000</v>
      </c>
      <c r="F102" t="str">
        <f t="shared" si="4"/>
        <v>D 5000</v>
      </c>
      <c r="G102">
        <v>75000</v>
      </c>
      <c r="H102" t="s">
        <v>18</v>
      </c>
      <c r="I102" t="str">
        <f t="shared" si="5"/>
        <v>Dimsum Udang = 15000</v>
      </c>
      <c r="J102">
        <f t="shared" si="6"/>
        <v>12</v>
      </c>
      <c r="K102" t="str">
        <f t="shared" si="7"/>
        <v>Dimsum Udang</v>
      </c>
    </row>
    <row r="103" spans="1:11" x14ac:dyDescent="0.25">
      <c r="A103" s="1" t="s">
        <v>50</v>
      </c>
      <c r="B103" t="s">
        <v>26</v>
      </c>
      <c r="C103" t="s">
        <v>9</v>
      </c>
      <c r="D103">
        <v>17</v>
      </c>
      <c r="E103">
        <v>15000</v>
      </c>
      <c r="F103" t="str">
        <f t="shared" si="4"/>
        <v>D 55000</v>
      </c>
      <c r="G103">
        <v>255000</v>
      </c>
      <c r="H103" t="s">
        <v>13</v>
      </c>
      <c r="I103" t="str">
        <f t="shared" si="5"/>
        <v>Dimsum Kepiting = 15000</v>
      </c>
      <c r="J103">
        <f t="shared" si="6"/>
        <v>15</v>
      </c>
      <c r="K103" t="str">
        <f t="shared" si="7"/>
        <v>Dimsum Kepiting</v>
      </c>
    </row>
    <row r="104" spans="1:11" x14ac:dyDescent="0.25">
      <c r="A104" s="1" t="s">
        <v>56</v>
      </c>
      <c r="B104" t="s">
        <v>8</v>
      </c>
      <c r="C104" t="s">
        <v>9</v>
      </c>
      <c r="D104">
        <v>16</v>
      </c>
      <c r="E104">
        <v>15000</v>
      </c>
      <c r="F104" t="str">
        <f t="shared" si="4"/>
        <v>D 40000</v>
      </c>
      <c r="G104">
        <v>240000</v>
      </c>
      <c r="H104" t="s">
        <v>10</v>
      </c>
      <c r="I104" t="str">
        <f t="shared" si="5"/>
        <v>Dimsum Ayam = 15000</v>
      </c>
      <c r="J104">
        <f t="shared" si="6"/>
        <v>11</v>
      </c>
      <c r="K104" t="str">
        <f t="shared" si="7"/>
        <v>Dimsum Ayam</v>
      </c>
    </row>
    <row r="105" spans="1:11" x14ac:dyDescent="0.25">
      <c r="A105" s="1" t="s">
        <v>71</v>
      </c>
      <c r="B105" t="s">
        <v>22</v>
      </c>
      <c r="C105" t="s">
        <v>9</v>
      </c>
      <c r="D105">
        <v>9</v>
      </c>
      <c r="E105">
        <v>15000</v>
      </c>
      <c r="F105" t="str">
        <f t="shared" si="4"/>
        <v>D 35000</v>
      </c>
      <c r="G105">
        <v>135000</v>
      </c>
      <c r="H105" t="s">
        <v>18</v>
      </c>
      <c r="I105" t="str">
        <f t="shared" si="5"/>
        <v>Dimsum Nori = 15000</v>
      </c>
      <c r="J105">
        <f t="shared" si="6"/>
        <v>11</v>
      </c>
      <c r="K105" t="str">
        <f t="shared" si="7"/>
        <v>Dimsum Nori</v>
      </c>
    </row>
    <row r="106" spans="1:11" x14ac:dyDescent="0.25">
      <c r="A106" s="1" t="s">
        <v>7</v>
      </c>
      <c r="B106" t="s">
        <v>26</v>
      </c>
      <c r="C106" t="s">
        <v>9</v>
      </c>
      <c r="D106">
        <v>5</v>
      </c>
      <c r="E106">
        <v>15000</v>
      </c>
      <c r="F106" t="str">
        <f t="shared" si="4"/>
        <v>D 5000</v>
      </c>
      <c r="G106">
        <v>75000</v>
      </c>
      <c r="H106" t="s">
        <v>18</v>
      </c>
      <c r="I106" t="str">
        <f t="shared" si="5"/>
        <v>Dimsum Kepiting = 15000</v>
      </c>
      <c r="J106">
        <f t="shared" si="6"/>
        <v>15</v>
      </c>
      <c r="K106" t="str">
        <f t="shared" si="7"/>
        <v>Dimsum Kepiting</v>
      </c>
    </row>
    <row r="107" spans="1:11" x14ac:dyDescent="0.25">
      <c r="A107" s="1" t="s">
        <v>54</v>
      </c>
      <c r="B107" t="s">
        <v>12</v>
      </c>
      <c r="C107" t="s">
        <v>9</v>
      </c>
      <c r="D107">
        <v>1</v>
      </c>
      <c r="E107">
        <v>12000</v>
      </c>
      <c r="F107" t="str">
        <f t="shared" si="4"/>
        <v>D 2000</v>
      </c>
      <c r="G107">
        <v>12000</v>
      </c>
      <c r="H107" t="s">
        <v>20</v>
      </c>
      <c r="I107" t="str">
        <f t="shared" si="5"/>
        <v>Dimsum Udang = 12000</v>
      </c>
      <c r="J107">
        <f t="shared" si="6"/>
        <v>12</v>
      </c>
      <c r="K107" t="str">
        <f t="shared" si="7"/>
        <v>Dimsum Udang</v>
      </c>
    </row>
    <row r="108" spans="1:11" x14ac:dyDescent="0.25">
      <c r="A108" s="1" t="s">
        <v>48</v>
      </c>
      <c r="B108" t="s">
        <v>8</v>
      </c>
      <c r="C108" t="s">
        <v>9</v>
      </c>
      <c r="D108">
        <v>5</v>
      </c>
      <c r="E108">
        <v>12000</v>
      </c>
      <c r="F108" t="str">
        <f t="shared" si="4"/>
        <v>D 0000</v>
      </c>
      <c r="G108">
        <v>60000</v>
      </c>
      <c r="H108" t="s">
        <v>13</v>
      </c>
      <c r="I108" t="str">
        <f t="shared" si="5"/>
        <v>Dimsum Ayam = 12000</v>
      </c>
      <c r="J108">
        <f t="shared" si="6"/>
        <v>11</v>
      </c>
      <c r="K108" t="str">
        <f t="shared" si="7"/>
        <v>Dimsum Ayam</v>
      </c>
    </row>
    <row r="109" spans="1:11" x14ac:dyDescent="0.25">
      <c r="A109" s="1" t="s">
        <v>59</v>
      </c>
      <c r="B109" t="s">
        <v>8</v>
      </c>
      <c r="C109" t="s">
        <v>9</v>
      </c>
      <c r="D109">
        <v>12</v>
      </c>
      <c r="E109">
        <v>12000</v>
      </c>
      <c r="F109" t="str">
        <f t="shared" si="4"/>
        <v>D 44000</v>
      </c>
      <c r="G109">
        <v>144000</v>
      </c>
      <c r="H109" t="s">
        <v>10</v>
      </c>
      <c r="I109" t="str">
        <f t="shared" si="5"/>
        <v>Dimsum Ayam = 12000</v>
      </c>
      <c r="J109">
        <f t="shared" si="6"/>
        <v>11</v>
      </c>
      <c r="K109" t="str">
        <f t="shared" si="7"/>
        <v>Dimsum Ayam</v>
      </c>
    </row>
    <row r="110" spans="1:11" x14ac:dyDescent="0.25">
      <c r="A110" s="1" t="s">
        <v>37</v>
      </c>
      <c r="B110" t="s">
        <v>12</v>
      </c>
      <c r="C110" t="s">
        <v>9</v>
      </c>
      <c r="D110">
        <v>20</v>
      </c>
      <c r="E110">
        <v>12000</v>
      </c>
      <c r="F110" t="str">
        <f t="shared" si="4"/>
        <v>D 40000</v>
      </c>
      <c r="G110">
        <v>240000</v>
      </c>
      <c r="H110" t="s">
        <v>18</v>
      </c>
      <c r="I110" t="str">
        <f t="shared" si="5"/>
        <v>Dimsum Udang = 12000</v>
      </c>
      <c r="J110">
        <f t="shared" si="6"/>
        <v>12</v>
      </c>
      <c r="K110" t="str">
        <f t="shared" si="7"/>
        <v>Dimsum Udang</v>
      </c>
    </row>
    <row r="111" spans="1:11" x14ac:dyDescent="0.25">
      <c r="A111" s="1" t="s">
        <v>33</v>
      </c>
      <c r="B111" t="s">
        <v>12</v>
      </c>
      <c r="C111" t="s">
        <v>9</v>
      </c>
      <c r="D111">
        <v>4</v>
      </c>
      <c r="E111">
        <v>20000</v>
      </c>
      <c r="F111" t="str">
        <f t="shared" si="4"/>
        <v>D 0000</v>
      </c>
      <c r="G111">
        <v>80000</v>
      </c>
      <c r="H111" t="s">
        <v>20</v>
      </c>
      <c r="I111" t="str">
        <f t="shared" si="5"/>
        <v>Dimsum Udang = 20000</v>
      </c>
      <c r="J111">
        <f t="shared" si="6"/>
        <v>12</v>
      </c>
      <c r="K111" t="str">
        <f t="shared" si="7"/>
        <v>Dimsum Udang</v>
      </c>
    </row>
    <row r="112" spans="1:11" x14ac:dyDescent="0.25">
      <c r="A112" s="1" t="s">
        <v>44</v>
      </c>
      <c r="B112" t="s">
        <v>22</v>
      </c>
      <c r="C112" t="s">
        <v>9</v>
      </c>
      <c r="D112">
        <v>4</v>
      </c>
      <c r="E112">
        <v>20000</v>
      </c>
      <c r="F112" t="str">
        <f t="shared" si="4"/>
        <v>D 0000</v>
      </c>
      <c r="G112">
        <v>80000</v>
      </c>
      <c r="H112" t="s">
        <v>20</v>
      </c>
      <c r="I112" t="str">
        <f t="shared" si="5"/>
        <v>Dimsum Nori = 20000</v>
      </c>
      <c r="J112">
        <f t="shared" si="6"/>
        <v>11</v>
      </c>
      <c r="K112" t="str">
        <f t="shared" si="7"/>
        <v>Dimsum Nori</v>
      </c>
    </row>
    <row r="113" spans="1:11" x14ac:dyDescent="0.25">
      <c r="A113" s="1" t="s">
        <v>75</v>
      </c>
      <c r="B113" t="s">
        <v>8</v>
      </c>
      <c r="C113" t="s">
        <v>9</v>
      </c>
      <c r="D113">
        <v>16</v>
      </c>
      <c r="E113">
        <v>15000</v>
      </c>
      <c r="F113" t="str">
        <f t="shared" si="4"/>
        <v>D 40000</v>
      </c>
      <c r="G113">
        <v>240000</v>
      </c>
      <c r="H113" t="s">
        <v>10</v>
      </c>
      <c r="I113" t="str">
        <f t="shared" si="5"/>
        <v>Dimsum Ayam = 15000</v>
      </c>
      <c r="J113">
        <f t="shared" si="6"/>
        <v>11</v>
      </c>
      <c r="K113" t="str">
        <f t="shared" si="7"/>
        <v>Dimsum Ayam</v>
      </c>
    </row>
    <row r="114" spans="1:11" x14ac:dyDescent="0.25">
      <c r="A114" s="1" t="s">
        <v>76</v>
      </c>
      <c r="B114" t="s">
        <v>16</v>
      </c>
      <c r="C114" t="s">
        <v>9</v>
      </c>
      <c r="D114">
        <v>4</v>
      </c>
      <c r="E114">
        <v>15000</v>
      </c>
      <c r="F114" t="str">
        <f t="shared" si="4"/>
        <v>D 0000</v>
      </c>
      <c r="G114">
        <v>60000</v>
      </c>
      <c r="H114" t="s">
        <v>20</v>
      </c>
      <c r="I114" t="str">
        <f t="shared" si="5"/>
        <v>Dimsum Ayam Jamur = 15000</v>
      </c>
      <c r="J114">
        <f t="shared" si="6"/>
        <v>17</v>
      </c>
      <c r="K114" t="str">
        <f t="shared" si="7"/>
        <v>Dimsum Ayam Jamur</v>
      </c>
    </row>
    <row r="115" spans="1:11" x14ac:dyDescent="0.25">
      <c r="A115" s="1" t="s">
        <v>77</v>
      </c>
      <c r="B115" t="s">
        <v>12</v>
      </c>
      <c r="C115" t="s">
        <v>9</v>
      </c>
      <c r="D115">
        <v>1</v>
      </c>
      <c r="E115">
        <v>12000</v>
      </c>
      <c r="F115" t="str">
        <f t="shared" si="4"/>
        <v>D 2000</v>
      </c>
      <c r="G115">
        <v>12000</v>
      </c>
      <c r="H115" t="s">
        <v>10</v>
      </c>
      <c r="I115" t="str">
        <f t="shared" si="5"/>
        <v>Dimsum Udang = 12000</v>
      </c>
      <c r="J115">
        <f t="shared" si="6"/>
        <v>12</v>
      </c>
      <c r="K115" t="str">
        <f t="shared" si="7"/>
        <v>Dimsum Udang</v>
      </c>
    </row>
    <row r="116" spans="1:11" x14ac:dyDescent="0.25">
      <c r="A116" s="1" t="s">
        <v>29</v>
      </c>
      <c r="B116" t="s">
        <v>22</v>
      </c>
      <c r="C116" t="s">
        <v>9</v>
      </c>
      <c r="D116">
        <v>8</v>
      </c>
      <c r="E116">
        <v>15000</v>
      </c>
      <c r="F116" t="str">
        <f t="shared" si="4"/>
        <v>D 20000</v>
      </c>
      <c r="G116">
        <v>120000</v>
      </c>
      <c r="H116" t="s">
        <v>13</v>
      </c>
      <c r="I116" t="str">
        <f t="shared" si="5"/>
        <v>Dimsum Nori = 15000</v>
      </c>
      <c r="J116">
        <f t="shared" si="6"/>
        <v>11</v>
      </c>
      <c r="K116" t="str">
        <f t="shared" si="7"/>
        <v>Dimsum Nori</v>
      </c>
    </row>
    <row r="117" spans="1:11" x14ac:dyDescent="0.25">
      <c r="A117" s="1" t="s">
        <v>28</v>
      </c>
      <c r="B117" t="s">
        <v>26</v>
      </c>
      <c r="C117" t="s">
        <v>9</v>
      </c>
      <c r="D117">
        <v>8</v>
      </c>
      <c r="E117">
        <v>12000</v>
      </c>
      <c r="F117" t="str">
        <f t="shared" si="4"/>
        <v>D 6000</v>
      </c>
      <c r="G117">
        <v>96000</v>
      </c>
      <c r="H117" t="s">
        <v>18</v>
      </c>
      <c r="I117" t="str">
        <f t="shared" si="5"/>
        <v>Dimsum Kepiting = 12000</v>
      </c>
      <c r="J117">
        <f t="shared" si="6"/>
        <v>15</v>
      </c>
      <c r="K117" t="str">
        <f t="shared" si="7"/>
        <v>Dimsum Kepiting</v>
      </c>
    </row>
    <row r="118" spans="1:11" x14ac:dyDescent="0.25">
      <c r="A118" s="1" t="s">
        <v>78</v>
      </c>
      <c r="B118" t="s">
        <v>12</v>
      </c>
      <c r="C118" t="s">
        <v>9</v>
      </c>
      <c r="D118">
        <v>20</v>
      </c>
      <c r="E118">
        <v>12000</v>
      </c>
      <c r="F118" t="str">
        <f t="shared" si="4"/>
        <v>D 40000</v>
      </c>
      <c r="G118">
        <v>240000</v>
      </c>
      <c r="H118" t="s">
        <v>13</v>
      </c>
      <c r="I118" t="str">
        <f t="shared" si="5"/>
        <v>Dimsum Udang = 12000</v>
      </c>
      <c r="J118">
        <f t="shared" si="6"/>
        <v>12</v>
      </c>
      <c r="K118" t="str">
        <f t="shared" si="7"/>
        <v>Dimsum Udang</v>
      </c>
    </row>
    <row r="119" spans="1:11" x14ac:dyDescent="0.25">
      <c r="A119" s="1" t="s">
        <v>79</v>
      </c>
      <c r="B119" t="s">
        <v>16</v>
      </c>
      <c r="C119" t="s">
        <v>9</v>
      </c>
      <c r="D119">
        <v>13</v>
      </c>
      <c r="E119">
        <v>15000</v>
      </c>
      <c r="F119" t="str">
        <f t="shared" si="4"/>
        <v>D 95000</v>
      </c>
      <c r="G119">
        <v>195000</v>
      </c>
      <c r="H119" t="s">
        <v>18</v>
      </c>
      <c r="I119" t="str">
        <f t="shared" si="5"/>
        <v>Dimsum Ayam Jamur = 15000</v>
      </c>
      <c r="J119">
        <f t="shared" si="6"/>
        <v>17</v>
      </c>
      <c r="K119" t="str">
        <f t="shared" si="7"/>
        <v>Dimsum Ayam Jamur</v>
      </c>
    </row>
    <row r="120" spans="1:11" x14ac:dyDescent="0.25">
      <c r="A120" s="1" t="s">
        <v>80</v>
      </c>
      <c r="B120" t="s">
        <v>16</v>
      </c>
      <c r="C120" t="s">
        <v>9</v>
      </c>
      <c r="D120">
        <v>3</v>
      </c>
      <c r="E120">
        <v>18000</v>
      </c>
      <c r="F120" t="str">
        <f t="shared" si="4"/>
        <v>D 4000</v>
      </c>
      <c r="G120">
        <v>54000</v>
      </c>
      <c r="H120" t="s">
        <v>10</v>
      </c>
      <c r="I120" t="str">
        <f t="shared" si="5"/>
        <v>Dimsum Ayam Jamur = 18000</v>
      </c>
      <c r="J120">
        <f t="shared" si="6"/>
        <v>17</v>
      </c>
      <c r="K120" t="str">
        <f t="shared" si="7"/>
        <v>Dimsum Ayam Jamur</v>
      </c>
    </row>
    <row r="121" spans="1:11" x14ac:dyDescent="0.25">
      <c r="A121" s="1" t="s">
        <v>31</v>
      </c>
      <c r="B121" t="s">
        <v>16</v>
      </c>
      <c r="C121" t="s">
        <v>9</v>
      </c>
      <c r="D121">
        <v>11</v>
      </c>
      <c r="E121">
        <v>18000</v>
      </c>
      <c r="F121" t="str">
        <f t="shared" si="4"/>
        <v>D 98000</v>
      </c>
      <c r="G121">
        <v>198000</v>
      </c>
      <c r="H121" t="s">
        <v>10</v>
      </c>
      <c r="I121" t="str">
        <f t="shared" si="5"/>
        <v>Dimsum Ayam Jamur = 18000</v>
      </c>
      <c r="J121">
        <f t="shared" si="6"/>
        <v>17</v>
      </c>
      <c r="K121" t="str">
        <f t="shared" si="7"/>
        <v>Dimsum Ayam Jamur</v>
      </c>
    </row>
    <row r="122" spans="1:11" x14ac:dyDescent="0.25">
      <c r="A122" s="1" t="s">
        <v>80</v>
      </c>
      <c r="B122" t="s">
        <v>8</v>
      </c>
      <c r="C122" t="s">
        <v>9</v>
      </c>
      <c r="D122">
        <v>14</v>
      </c>
      <c r="E122">
        <v>20000</v>
      </c>
      <c r="F122" t="str">
        <f t="shared" si="4"/>
        <v>D 80000</v>
      </c>
      <c r="G122">
        <v>280000</v>
      </c>
      <c r="H122" t="s">
        <v>18</v>
      </c>
      <c r="I122" t="str">
        <f t="shared" si="5"/>
        <v>Dimsum Ayam = 20000</v>
      </c>
      <c r="J122">
        <f t="shared" si="6"/>
        <v>11</v>
      </c>
      <c r="K122" t="str">
        <f t="shared" si="7"/>
        <v>Dimsum Ayam</v>
      </c>
    </row>
    <row r="123" spans="1:11" x14ac:dyDescent="0.25">
      <c r="A123" s="1" t="s">
        <v>7</v>
      </c>
      <c r="B123" t="s">
        <v>22</v>
      </c>
      <c r="C123" t="s">
        <v>9</v>
      </c>
      <c r="D123">
        <v>1</v>
      </c>
      <c r="E123">
        <v>20000</v>
      </c>
      <c r="F123" t="str">
        <f t="shared" si="4"/>
        <v>D 0000</v>
      </c>
      <c r="G123">
        <v>20000</v>
      </c>
      <c r="H123" t="s">
        <v>18</v>
      </c>
      <c r="I123" t="str">
        <f t="shared" si="5"/>
        <v>Dimsum Nori = 20000</v>
      </c>
      <c r="J123">
        <f t="shared" si="6"/>
        <v>11</v>
      </c>
      <c r="K123" t="str">
        <f t="shared" si="7"/>
        <v>Dimsum Nori</v>
      </c>
    </row>
    <row r="124" spans="1:11" x14ac:dyDescent="0.25">
      <c r="A124" s="1" t="s">
        <v>81</v>
      </c>
      <c r="B124" t="s">
        <v>12</v>
      </c>
      <c r="C124" t="s">
        <v>9</v>
      </c>
      <c r="D124">
        <v>9</v>
      </c>
      <c r="E124">
        <v>12000</v>
      </c>
      <c r="F124" t="str">
        <f t="shared" si="4"/>
        <v>D 08000</v>
      </c>
      <c r="G124">
        <v>108000</v>
      </c>
      <c r="H124" t="s">
        <v>18</v>
      </c>
      <c r="I124" t="str">
        <f t="shared" si="5"/>
        <v>Dimsum Udang = 12000</v>
      </c>
      <c r="J124">
        <f t="shared" si="6"/>
        <v>12</v>
      </c>
      <c r="K124" t="str">
        <f t="shared" si="7"/>
        <v>Dimsum Udang</v>
      </c>
    </row>
    <row r="125" spans="1:11" x14ac:dyDescent="0.25">
      <c r="A125" s="1" t="s">
        <v>82</v>
      </c>
      <c r="B125" t="s">
        <v>26</v>
      </c>
      <c r="C125" t="s">
        <v>9</v>
      </c>
      <c r="D125">
        <v>3</v>
      </c>
      <c r="E125">
        <v>20000</v>
      </c>
      <c r="F125" t="str">
        <f t="shared" si="4"/>
        <v>D 0000</v>
      </c>
      <c r="G125">
        <v>60000</v>
      </c>
      <c r="H125" t="s">
        <v>10</v>
      </c>
      <c r="I125" t="str">
        <f t="shared" si="5"/>
        <v>Dimsum Kepiting = 20000</v>
      </c>
      <c r="J125">
        <f t="shared" si="6"/>
        <v>15</v>
      </c>
      <c r="K125" t="str">
        <f t="shared" si="7"/>
        <v>Dimsum Kepiting</v>
      </c>
    </row>
    <row r="126" spans="1:11" x14ac:dyDescent="0.25">
      <c r="A126" s="1" t="s">
        <v>7</v>
      </c>
      <c r="B126" t="s">
        <v>16</v>
      </c>
      <c r="C126" t="s">
        <v>9</v>
      </c>
      <c r="D126">
        <v>1</v>
      </c>
      <c r="E126">
        <v>18000</v>
      </c>
      <c r="F126" t="str">
        <f t="shared" si="4"/>
        <v>D 8000</v>
      </c>
      <c r="G126">
        <v>18000</v>
      </c>
      <c r="H126" t="s">
        <v>18</v>
      </c>
      <c r="I126" t="str">
        <f t="shared" si="5"/>
        <v>Dimsum Ayam Jamur = 18000</v>
      </c>
      <c r="J126">
        <f t="shared" si="6"/>
        <v>17</v>
      </c>
      <c r="K126" t="str">
        <f t="shared" si="7"/>
        <v>Dimsum Ayam Jamur</v>
      </c>
    </row>
    <row r="127" spans="1:11" x14ac:dyDescent="0.25">
      <c r="A127" s="1" t="s">
        <v>57</v>
      </c>
      <c r="B127" t="s">
        <v>16</v>
      </c>
      <c r="C127" t="s">
        <v>9</v>
      </c>
      <c r="D127">
        <v>16</v>
      </c>
      <c r="E127">
        <v>18000</v>
      </c>
      <c r="F127" t="str">
        <f t="shared" si="4"/>
        <v>D 88000</v>
      </c>
      <c r="G127">
        <v>288000</v>
      </c>
      <c r="H127" t="s">
        <v>18</v>
      </c>
      <c r="I127" t="str">
        <f t="shared" si="5"/>
        <v>Dimsum Ayam Jamur = 18000</v>
      </c>
      <c r="J127">
        <f t="shared" si="6"/>
        <v>17</v>
      </c>
      <c r="K127" t="str">
        <f t="shared" si="7"/>
        <v>Dimsum Ayam Jamur</v>
      </c>
    </row>
    <row r="128" spans="1:11" x14ac:dyDescent="0.25">
      <c r="A128" s="1" t="s">
        <v>37</v>
      </c>
      <c r="B128" t="s">
        <v>12</v>
      </c>
      <c r="C128" t="s">
        <v>9</v>
      </c>
      <c r="D128">
        <v>1</v>
      </c>
      <c r="E128">
        <v>12000</v>
      </c>
      <c r="F128" t="str">
        <f t="shared" si="4"/>
        <v>D 2000</v>
      </c>
      <c r="G128">
        <v>12000</v>
      </c>
      <c r="H128" t="s">
        <v>13</v>
      </c>
      <c r="I128" t="str">
        <f t="shared" si="5"/>
        <v>Dimsum Udang = 12000</v>
      </c>
      <c r="J128">
        <f t="shared" si="6"/>
        <v>12</v>
      </c>
      <c r="K128" t="str">
        <f t="shared" si="7"/>
        <v>Dimsum Udang</v>
      </c>
    </row>
    <row r="129" spans="1:11" x14ac:dyDescent="0.25">
      <c r="A129" s="1" t="s">
        <v>53</v>
      </c>
      <c r="B129" t="s">
        <v>22</v>
      </c>
      <c r="C129" t="s">
        <v>9</v>
      </c>
      <c r="D129">
        <v>5</v>
      </c>
      <c r="E129">
        <v>12000</v>
      </c>
      <c r="F129" t="str">
        <f t="shared" si="4"/>
        <v>D 0000</v>
      </c>
      <c r="G129">
        <v>60000</v>
      </c>
      <c r="H129" t="s">
        <v>13</v>
      </c>
      <c r="I129" t="str">
        <f t="shared" si="5"/>
        <v>Dimsum Nori = 12000</v>
      </c>
      <c r="J129">
        <f t="shared" si="6"/>
        <v>11</v>
      </c>
      <c r="K129" t="str">
        <f t="shared" si="7"/>
        <v>Dimsum Nori</v>
      </c>
    </row>
    <row r="130" spans="1:11" x14ac:dyDescent="0.25">
      <c r="A130" s="1" t="s">
        <v>83</v>
      </c>
      <c r="B130" t="s">
        <v>8</v>
      </c>
      <c r="C130" t="s">
        <v>9</v>
      </c>
      <c r="D130">
        <v>5</v>
      </c>
      <c r="E130">
        <v>20000</v>
      </c>
      <c r="F130" t="str">
        <f t="shared" si="4"/>
        <v>D 00000</v>
      </c>
      <c r="G130">
        <v>100000</v>
      </c>
      <c r="H130" t="s">
        <v>18</v>
      </c>
      <c r="I130" t="str">
        <f t="shared" si="5"/>
        <v>Dimsum Ayam = 20000</v>
      </c>
      <c r="J130">
        <f t="shared" si="6"/>
        <v>11</v>
      </c>
      <c r="K130" t="str">
        <f t="shared" si="7"/>
        <v>Dimsum Ayam</v>
      </c>
    </row>
    <row r="131" spans="1:11" x14ac:dyDescent="0.25">
      <c r="A131" s="1" t="s">
        <v>31</v>
      </c>
      <c r="B131" t="s">
        <v>22</v>
      </c>
      <c r="C131" t="s">
        <v>9</v>
      </c>
      <c r="D131">
        <v>16</v>
      </c>
      <c r="E131">
        <v>18000</v>
      </c>
      <c r="F131" t="str">
        <f t="shared" ref="F131:F194" si="8">REPLACE(G131,1,1,"D ")</f>
        <v>D 88000</v>
      </c>
      <c r="G131">
        <v>288000</v>
      </c>
      <c r="H131" t="s">
        <v>20</v>
      </c>
      <c r="I131" t="str">
        <f t="shared" ref="I131:I194" si="9">CONCATENATE(B131, " = ", E131)</f>
        <v>Dimsum Nori = 18000</v>
      </c>
      <c r="J131">
        <f t="shared" ref="J131:J194" si="10">LEN(B131)</f>
        <v>11</v>
      </c>
      <c r="K131" t="str">
        <f t="shared" ref="K131:K194" si="11">TRIM(B131)</f>
        <v>Dimsum Nori</v>
      </c>
    </row>
    <row r="132" spans="1:11" x14ac:dyDescent="0.25">
      <c r="A132" s="1" t="s">
        <v>42</v>
      </c>
      <c r="B132" t="s">
        <v>8</v>
      </c>
      <c r="C132" t="s">
        <v>9</v>
      </c>
      <c r="D132">
        <v>1</v>
      </c>
      <c r="E132">
        <v>15000</v>
      </c>
      <c r="F132" t="str">
        <f t="shared" si="8"/>
        <v>D 5000</v>
      </c>
      <c r="G132">
        <v>15000</v>
      </c>
      <c r="H132" t="s">
        <v>18</v>
      </c>
      <c r="I132" t="str">
        <f t="shared" si="9"/>
        <v>Dimsum Ayam = 15000</v>
      </c>
      <c r="J132">
        <f t="shared" si="10"/>
        <v>11</v>
      </c>
      <c r="K132" t="str">
        <f t="shared" si="11"/>
        <v>Dimsum Ayam</v>
      </c>
    </row>
    <row r="133" spans="1:11" x14ac:dyDescent="0.25">
      <c r="A133" s="1" t="s">
        <v>42</v>
      </c>
      <c r="B133" t="s">
        <v>8</v>
      </c>
      <c r="C133" t="s">
        <v>9</v>
      </c>
      <c r="D133">
        <v>17</v>
      </c>
      <c r="E133">
        <v>12000</v>
      </c>
      <c r="F133" t="str">
        <f t="shared" si="8"/>
        <v>D 04000</v>
      </c>
      <c r="G133">
        <v>204000</v>
      </c>
      <c r="H133" t="s">
        <v>18</v>
      </c>
      <c r="I133" t="str">
        <f t="shared" si="9"/>
        <v>Dimsum Ayam = 12000</v>
      </c>
      <c r="J133">
        <f t="shared" si="10"/>
        <v>11</v>
      </c>
      <c r="K133" t="str">
        <f t="shared" si="11"/>
        <v>Dimsum Ayam</v>
      </c>
    </row>
    <row r="134" spans="1:11" x14ac:dyDescent="0.25">
      <c r="A134" s="1" t="s">
        <v>66</v>
      </c>
      <c r="B134" t="s">
        <v>16</v>
      </c>
      <c r="C134" t="s">
        <v>9</v>
      </c>
      <c r="D134">
        <v>16</v>
      </c>
      <c r="E134">
        <v>20000</v>
      </c>
      <c r="F134" t="str">
        <f t="shared" si="8"/>
        <v>D 20000</v>
      </c>
      <c r="G134">
        <v>320000</v>
      </c>
      <c r="H134" t="s">
        <v>13</v>
      </c>
      <c r="I134" t="str">
        <f t="shared" si="9"/>
        <v>Dimsum Ayam Jamur = 20000</v>
      </c>
      <c r="J134">
        <f t="shared" si="10"/>
        <v>17</v>
      </c>
      <c r="K134" t="str">
        <f t="shared" si="11"/>
        <v>Dimsum Ayam Jamur</v>
      </c>
    </row>
    <row r="135" spans="1:11" x14ac:dyDescent="0.25">
      <c r="A135" s="1" t="s">
        <v>84</v>
      </c>
      <c r="B135" t="s">
        <v>8</v>
      </c>
      <c r="C135" t="s">
        <v>9</v>
      </c>
      <c r="D135">
        <v>7</v>
      </c>
      <c r="E135">
        <v>18000</v>
      </c>
      <c r="F135" t="str">
        <f t="shared" si="8"/>
        <v>D 26000</v>
      </c>
      <c r="G135">
        <v>126000</v>
      </c>
      <c r="H135" t="s">
        <v>18</v>
      </c>
      <c r="I135" t="str">
        <f t="shared" si="9"/>
        <v>Dimsum Ayam = 18000</v>
      </c>
      <c r="J135">
        <f t="shared" si="10"/>
        <v>11</v>
      </c>
      <c r="K135" t="str">
        <f t="shared" si="11"/>
        <v>Dimsum Ayam</v>
      </c>
    </row>
    <row r="136" spans="1:11" x14ac:dyDescent="0.25">
      <c r="A136" s="1" t="s">
        <v>48</v>
      </c>
      <c r="B136" t="s">
        <v>8</v>
      </c>
      <c r="C136" t="s">
        <v>9</v>
      </c>
      <c r="D136">
        <v>8</v>
      </c>
      <c r="E136">
        <v>18000</v>
      </c>
      <c r="F136" t="str">
        <f t="shared" si="8"/>
        <v>D 44000</v>
      </c>
      <c r="G136">
        <v>144000</v>
      </c>
      <c r="H136" t="s">
        <v>10</v>
      </c>
      <c r="I136" t="str">
        <f t="shared" si="9"/>
        <v>Dimsum Ayam = 18000</v>
      </c>
      <c r="J136">
        <f t="shared" si="10"/>
        <v>11</v>
      </c>
      <c r="K136" t="str">
        <f t="shared" si="11"/>
        <v>Dimsum Ayam</v>
      </c>
    </row>
    <row r="137" spans="1:11" x14ac:dyDescent="0.25">
      <c r="A137" s="1" t="s">
        <v>85</v>
      </c>
      <c r="B137" t="s">
        <v>22</v>
      </c>
      <c r="C137" t="s">
        <v>9</v>
      </c>
      <c r="D137">
        <v>6</v>
      </c>
      <c r="E137">
        <v>12000</v>
      </c>
      <c r="F137" t="str">
        <f t="shared" si="8"/>
        <v>D 2000</v>
      </c>
      <c r="G137">
        <v>72000</v>
      </c>
      <c r="H137" t="s">
        <v>18</v>
      </c>
      <c r="I137" t="str">
        <f t="shared" si="9"/>
        <v>Dimsum Nori = 12000</v>
      </c>
      <c r="J137">
        <f t="shared" si="10"/>
        <v>11</v>
      </c>
      <c r="K137" t="str">
        <f t="shared" si="11"/>
        <v>Dimsum Nori</v>
      </c>
    </row>
    <row r="138" spans="1:11" x14ac:dyDescent="0.25">
      <c r="A138" s="1" t="s">
        <v>86</v>
      </c>
      <c r="B138" t="s">
        <v>16</v>
      </c>
      <c r="C138" t="s">
        <v>9</v>
      </c>
      <c r="D138">
        <v>6</v>
      </c>
      <c r="E138">
        <v>15000</v>
      </c>
      <c r="F138" t="str">
        <f t="shared" si="8"/>
        <v>D 0000</v>
      </c>
      <c r="G138">
        <v>90000</v>
      </c>
      <c r="H138" t="s">
        <v>20</v>
      </c>
      <c r="I138" t="str">
        <f t="shared" si="9"/>
        <v>Dimsum Ayam Jamur = 15000</v>
      </c>
      <c r="J138">
        <f t="shared" si="10"/>
        <v>17</v>
      </c>
      <c r="K138" t="str">
        <f t="shared" si="11"/>
        <v>Dimsum Ayam Jamur</v>
      </c>
    </row>
    <row r="139" spans="1:11" x14ac:dyDescent="0.25">
      <c r="A139" s="1" t="s">
        <v>23</v>
      </c>
      <c r="B139" t="s">
        <v>12</v>
      </c>
      <c r="C139" t="s">
        <v>9</v>
      </c>
      <c r="D139">
        <v>17</v>
      </c>
      <c r="E139">
        <v>15000</v>
      </c>
      <c r="F139" t="str">
        <f t="shared" si="8"/>
        <v>D 55000</v>
      </c>
      <c r="G139">
        <v>255000</v>
      </c>
      <c r="H139" t="s">
        <v>13</v>
      </c>
      <c r="I139" t="str">
        <f t="shared" si="9"/>
        <v>Dimsum Udang = 15000</v>
      </c>
      <c r="J139">
        <f t="shared" si="10"/>
        <v>12</v>
      </c>
      <c r="K139" t="str">
        <f t="shared" si="11"/>
        <v>Dimsum Udang</v>
      </c>
    </row>
    <row r="140" spans="1:11" x14ac:dyDescent="0.25">
      <c r="A140" s="1" t="s">
        <v>65</v>
      </c>
      <c r="B140" t="s">
        <v>26</v>
      </c>
      <c r="C140" t="s">
        <v>9</v>
      </c>
      <c r="D140">
        <v>18</v>
      </c>
      <c r="E140">
        <v>18000</v>
      </c>
      <c r="F140" t="str">
        <f t="shared" si="8"/>
        <v>D 24000</v>
      </c>
      <c r="G140">
        <v>324000</v>
      </c>
      <c r="H140" t="s">
        <v>18</v>
      </c>
      <c r="I140" t="str">
        <f t="shared" si="9"/>
        <v>Dimsum Kepiting = 18000</v>
      </c>
      <c r="J140">
        <f t="shared" si="10"/>
        <v>15</v>
      </c>
      <c r="K140" t="str">
        <f t="shared" si="11"/>
        <v>Dimsum Kepiting</v>
      </c>
    </row>
    <row r="141" spans="1:11" x14ac:dyDescent="0.25">
      <c r="A141" s="1" t="s">
        <v>83</v>
      </c>
      <c r="B141" t="s">
        <v>16</v>
      </c>
      <c r="C141" t="s">
        <v>9</v>
      </c>
      <c r="D141">
        <v>17</v>
      </c>
      <c r="E141">
        <v>12000</v>
      </c>
      <c r="F141" t="str">
        <f t="shared" si="8"/>
        <v>D 04000</v>
      </c>
      <c r="G141">
        <v>204000</v>
      </c>
      <c r="H141" t="s">
        <v>13</v>
      </c>
      <c r="I141" t="str">
        <f t="shared" si="9"/>
        <v>Dimsum Ayam Jamur = 12000</v>
      </c>
      <c r="J141">
        <f t="shared" si="10"/>
        <v>17</v>
      </c>
      <c r="K141" t="str">
        <f t="shared" si="11"/>
        <v>Dimsum Ayam Jamur</v>
      </c>
    </row>
    <row r="142" spans="1:11" x14ac:dyDescent="0.25">
      <c r="A142" s="1" t="s">
        <v>25</v>
      </c>
      <c r="B142" t="s">
        <v>26</v>
      </c>
      <c r="C142" t="s">
        <v>9</v>
      </c>
      <c r="D142">
        <v>12</v>
      </c>
      <c r="E142">
        <v>20000</v>
      </c>
      <c r="F142" t="str">
        <f t="shared" si="8"/>
        <v>D 40000</v>
      </c>
      <c r="G142">
        <v>240000</v>
      </c>
      <c r="H142" t="s">
        <v>10</v>
      </c>
      <c r="I142" t="str">
        <f t="shared" si="9"/>
        <v>Dimsum Kepiting = 20000</v>
      </c>
      <c r="J142">
        <f t="shared" si="10"/>
        <v>15</v>
      </c>
      <c r="K142" t="str">
        <f t="shared" si="11"/>
        <v>Dimsum Kepiting</v>
      </c>
    </row>
    <row r="143" spans="1:11" x14ac:dyDescent="0.25">
      <c r="A143" s="1" t="s">
        <v>55</v>
      </c>
      <c r="B143" t="s">
        <v>26</v>
      </c>
      <c r="C143" t="s">
        <v>9</v>
      </c>
      <c r="D143">
        <v>17</v>
      </c>
      <c r="E143">
        <v>12000</v>
      </c>
      <c r="F143" t="str">
        <f t="shared" si="8"/>
        <v>D 04000</v>
      </c>
      <c r="G143">
        <v>204000</v>
      </c>
      <c r="H143" t="s">
        <v>18</v>
      </c>
      <c r="I143" t="str">
        <f t="shared" si="9"/>
        <v>Dimsum Kepiting = 12000</v>
      </c>
      <c r="J143">
        <f t="shared" si="10"/>
        <v>15</v>
      </c>
      <c r="K143" t="str">
        <f t="shared" si="11"/>
        <v>Dimsum Kepiting</v>
      </c>
    </row>
    <row r="144" spans="1:11" x14ac:dyDescent="0.25">
      <c r="A144" s="1" t="s">
        <v>54</v>
      </c>
      <c r="B144" t="s">
        <v>12</v>
      </c>
      <c r="C144" t="s">
        <v>9</v>
      </c>
      <c r="D144">
        <v>9</v>
      </c>
      <c r="E144">
        <v>12000</v>
      </c>
      <c r="F144" t="str">
        <f t="shared" si="8"/>
        <v>D 08000</v>
      </c>
      <c r="G144">
        <v>108000</v>
      </c>
      <c r="H144" t="s">
        <v>10</v>
      </c>
      <c r="I144" t="str">
        <f t="shared" si="9"/>
        <v>Dimsum Udang = 12000</v>
      </c>
      <c r="J144">
        <f t="shared" si="10"/>
        <v>12</v>
      </c>
      <c r="K144" t="str">
        <f t="shared" si="11"/>
        <v>Dimsum Udang</v>
      </c>
    </row>
    <row r="145" spans="1:11" x14ac:dyDescent="0.25">
      <c r="A145" s="1" t="s">
        <v>87</v>
      </c>
      <c r="B145" t="s">
        <v>16</v>
      </c>
      <c r="C145" t="s">
        <v>9</v>
      </c>
      <c r="D145">
        <v>17</v>
      </c>
      <c r="E145">
        <v>15000</v>
      </c>
      <c r="F145" t="str">
        <f t="shared" si="8"/>
        <v>D 55000</v>
      </c>
      <c r="G145">
        <v>255000</v>
      </c>
      <c r="H145" t="s">
        <v>10</v>
      </c>
      <c r="I145" t="str">
        <f t="shared" si="9"/>
        <v>Dimsum Ayam Jamur = 15000</v>
      </c>
      <c r="J145">
        <f t="shared" si="10"/>
        <v>17</v>
      </c>
      <c r="K145" t="str">
        <f t="shared" si="11"/>
        <v>Dimsum Ayam Jamur</v>
      </c>
    </row>
    <row r="146" spans="1:11" x14ac:dyDescent="0.25">
      <c r="A146" s="1" t="s">
        <v>53</v>
      </c>
      <c r="B146" t="s">
        <v>12</v>
      </c>
      <c r="C146" t="s">
        <v>9</v>
      </c>
      <c r="D146">
        <v>16</v>
      </c>
      <c r="E146">
        <v>12000</v>
      </c>
      <c r="F146" t="str">
        <f t="shared" si="8"/>
        <v>D 92000</v>
      </c>
      <c r="G146">
        <v>192000</v>
      </c>
      <c r="H146" t="s">
        <v>18</v>
      </c>
      <c r="I146" t="str">
        <f t="shared" si="9"/>
        <v>Dimsum Udang = 12000</v>
      </c>
      <c r="J146">
        <f t="shared" si="10"/>
        <v>12</v>
      </c>
      <c r="K146" t="str">
        <f t="shared" si="11"/>
        <v>Dimsum Udang</v>
      </c>
    </row>
    <row r="147" spans="1:11" x14ac:dyDescent="0.25">
      <c r="A147" s="1" t="s">
        <v>88</v>
      </c>
      <c r="B147" t="s">
        <v>12</v>
      </c>
      <c r="C147" t="s">
        <v>9</v>
      </c>
      <c r="D147">
        <v>13</v>
      </c>
      <c r="E147">
        <v>15000</v>
      </c>
      <c r="F147" t="str">
        <f t="shared" si="8"/>
        <v>D 95000</v>
      </c>
      <c r="G147">
        <v>195000</v>
      </c>
      <c r="H147" t="s">
        <v>20</v>
      </c>
      <c r="I147" t="str">
        <f t="shared" si="9"/>
        <v>Dimsum Udang = 15000</v>
      </c>
      <c r="J147">
        <f t="shared" si="10"/>
        <v>12</v>
      </c>
      <c r="K147" t="str">
        <f t="shared" si="11"/>
        <v>Dimsum Udang</v>
      </c>
    </row>
    <row r="148" spans="1:11" x14ac:dyDescent="0.25">
      <c r="A148" s="1" t="s">
        <v>89</v>
      </c>
      <c r="B148" t="s">
        <v>8</v>
      </c>
      <c r="C148" t="s">
        <v>9</v>
      </c>
      <c r="D148">
        <v>13</v>
      </c>
      <c r="E148">
        <v>18000</v>
      </c>
      <c r="F148" t="str">
        <f t="shared" si="8"/>
        <v>D 34000</v>
      </c>
      <c r="G148">
        <v>234000</v>
      </c>
      <c r="H148" t="s">
        <v>18</v>
      </c>
      <c r="I148" t="str">
        <f t="shared" si="9"/>
        <v>Dimsum Ayam = 18000</v>
      </c>
      <c r="J148">
        <f t="shared" si="10"/>
        <v>11</v>
      </c>
      <c r="K148" t="str">
        <f t="shared" si="11"/>
        <v>Dimsum Ayam</v>
      </c>
    </row>
    <row r="149" spans="1:11" x14ac:dyDescent="0.25">
      <c r="A149" s="1" t="s">
        <v>90</v>
      </c>
      <c r="B149" t="s">
        <v>26</v>
      </c>
      <c r="C149" t="s">
        <v>9</v>
      </c>
      <c r="D149">
        <v>17</v>
      </c>
      <c r="E149">
        <v>12000</v>
      </c>
      <c r="F149" t="str">
        <f t="shared" si="8"/>
        <v>D 04000</v>
      </c>
      <c r="G149">
        <v>204000</v>
      </c>
      <c r="H149" t="s">
        <v>13</v>
      </c>
      <c r="I149" t="str">
        <f t="shared" si="9"/>
        <v>Dimsum Kepiting = 12000</v>
      </c>
      <c r="J149">
        <f t="shared" si="10"/>
        <v>15</v>
      </c>
      <c r="K149" t="str">
        <f t="shared" si="11"/>
        <v>Dimsum Kepiting</v>
      </c>
    </row>
    <row r="150" spans="1:11" x14ac:dyDescent="0.25">
      <c r="A150" s="1" t="s">
        <v>38</v>
      </c>
      <c r="B150" t="s">
        <v>22</v>
      </c>
      <c r="C150" t="s">
        <v>9</v>
      </c>
      <c r="D150">
        <v>5</v>
      </c>
      <c r="E150">
        <v>15000</v>
      </c>
      <c r="F150" t="str">
        <f t="shared" si="8"/>
        <v>D 5000</v>
      </c>
      <c r="G150">
        <v>75000</v>
      </c>
      <c r="H150" t="s">
        <v>10</v>
      </c>
      <c r="I150" t="str">
        <f t="shared" si="9"/>
        <v>Dimsum Nori = 15000</v>
      </c>
      <c r="J150">
        <f t="shared" si="10"/>
        <v>11</v>
      </c>
      <c r="K150" t="str">
        <f t="shared" si="11"/>
        <v>Dimsum Nori</v>
      </c>
    </row>
    <row r="151" spans="1:11" x14ac:dyDescent="0.25">
      <c r="A151" s="1" t="s">
        <v>91</v>
      </c>
      <c r="B151" t="s">
        <v>8</v>
      </c>
      <c r="C151" t="s">
        <v>9</v>
      </c>
      <c r="D151">
        <v>16</v>
      </c>
      <c r="E151">
        <v>12000</v>
      </c>
      <c r="F151" t="str">
        <f t="shared" si="8"/>
        <v>D 92000</v>
      </c>
      <c r="G151">
        <v>192000</v>
      </c>
      <c r="H151" t="s">
        <v>13</v>
      </c>
      <c r="I151" t="str">
        <f t="shared" si="9"/>
        <v>Dimsum Ayam = 12000</v>
      </c>
      <c r="J151">
        <f t="shared" si="10"/>
        <v>11</v>
      </c>
      <c r="K151" t="str">
        <f t="shared" si="11"/>
        <v>Dimsum Ayam</v>
      </c>
    </row>
    <row r="152" spans="1:11" x14ac:dyDescent="0.25">
      <c r="A152" s="1" t="s">
        <v>56</v>
      </c>
      <c r="B152" t="s">
        <v>12</v>
      </c>
      <c r="C152" t="s">
        <v>9</v>
      </c>
      <c r="D152">
        <v>7</v>
      </c>
      <c r="E152">
        <v>18000</v>
      </c>
      <c r="F152" t="str">
        <f t="shared" si="8"/>
        <v>D 26000</v>
      </c>
      <c r="G152">
        <v>126000</v>
      </c>
      <c r="H152" t="s">
        <v>20</v>
      </c>
      <c r="I152" t="str">
        <f t="shared" si="9"/>
        <v>Dimsum Udang = 18000</v>
      </c>
      <c r="J152">
        <f t="shared" si="10"/>
        <v>12</v>
      </c>
      <c r="K152" t="str">
        <f t="shared" si="11"/>
        <v>Dimsum Udang</v>
      </c>
    </row>
    <row r="153" spans="1:11" x14ac:dyDescent="0.25">
      <c r="A153" s="1" t="s">
        <v>42</v>
      </c>
      <c r="B153" t="s">
        <v>26</v>
      </c>
      <c r="C153" t="s">
        <v>9</v>
      </c>
      <c r="D153">
        <v>14</v>
      </c>
      <c r="E153">
        <v>15000</v>
      </c>
      <c r="F153" t="str">
        <f t="shared" si="8"/>
        <v>D 10000</v>
      </c>
      <c r="G153">
        <v>210000</v>
      </c>
      <c r="H153" t="s">
        <v>10</v>
      </c>
      <c r="I153" t="str">
        <f t="shared" si="9"/>
        <v>Dimsum Kepiting = 15000</v>
      </c>
      <c r="J153">
        <f t="shared" si="10"/>
        <v>15</v>
      </c>
      <c r="K153" t="str">
        <f t="shared" si="11"/>
        <v>Dimsum Kepiting</v>
      </c>
    </row>
    <row r="154" spans="1:11" x14ac:dyDescent="0.25">
      <c r="A154" s="1" t="s">
        <v>92</v>
      </c>
      <c r="B154" t="s">
        <v>26</v>
      </c>
      <c r="C154" t="s">
        <v>9</v>
      </c>
      <c r="D154">
        <v>19</v>
      </c>
      <c r="E154">
        <v>12000</v>
      </c>
      <c r="F154" t="str">
        <f t="shared" si="8"/>
        <v>D 28000</v>
      </c>
      <c r="G154">
        <v>228000</v>
      </c>
      <c r="H154" t="s">
        <v>10</v>
      </c>
      <c r="I154" t="str">
        <f t="shared" si="9"/>
        <v>Dimsum Kepiting = 12000</v>
      </c>
      <c r="J154">
        <f t="shared" si="10"/>
        <v>15</v>
      </c>
      <c r="K154" t="str">
        <f t="shared" si="11"/>
        <v>Dimsum Kepiting</v>
      </c>
    </row>
    <row r="155" spans="1:11" x14ac:dyDescent="0.25">
      <c r="A155" s="1" t="s">
        <v>73</v>
      </c>
      <c r="B155" t="s">
        <v>22</v>
      </c>
      <c r="C155" t="s">
        <v>9</v>
      </c>
      <c r="D155">
        <v>15</v>
      </c>
      <c r="E155">
        <v>20000</v>
      </c>
      <c r="F155" t="str">
        <f t="shared" si="8"/>
        <v>D 00000</v>
      </c>
      <c r="G155">
        <v>300000</v>
      </c>
      <c r="H155" t="s">
        <v>18</v>
      </c>
      <c r="I155" t="str">
        <f t="shared" si="9"/>
        <v>Dimsum Nori = 20000</v>
      </c>
      <c r="J155">
        <f t="shared" si="10"/>
        <v>11</v>
      </c>
      <c r="K155" t="str">
        <f t="shared" si="11"/>
        <v>Dimsum Nori</v>
      </c>
    </row>
    <row r="156" spans="1:11" x14ac:dyDescent="0.25">
      <c r="A156" s="1" t="s">
        <v>93</v>
      </c>
      <c r="B156" t="s">
        <v>26</v>
      </c>
      <c r="C156" t="s">
        <v>9</v>
      </c>
      <c r="D156">
        <v>5</v>
      </c>
      <c r="E156">
        <v>12000</v>
      </c>
      <c r="F156" t="str">
        <f t="shared" si="8"/>
        <v>D 0000</v>
      </c>
      <c r="G156">
        <v>60000</v>
      </c>
      <c r="H156" t="s">
        <v>10</v>
      </c>
      <c r="I156" t="str">
        <f t="shared" si="9"/>
        <v>Dimsum Kepiting = 12000</v>
      </c>
      <c r="J156">
        <f t="shared" si="10"/>
        <v>15</v>
      </c>
      <c r="K156" t="str">
        <f t="shared" si="11"/>
        <v>Dimsum Kepiting</v>
      </c>
    </row>
    <row r="157" spans="1:11" x14ac:dyDescent="0.25">
      <c r="A157" s="1" t="s">
        <v>36</v>
      </c>
      <c r="B157" t="s">
        <v>26</v>
      </c>
      <c r="C157" t="s">
        <v>9</v>
      </c>
      <c r="D157">
        <v>18</v>
      </c>
      <c r="E157">
        <v>15000</v>
      </c>
      <c r="F157" t="str">
        <f t="shared" si="8"/>
        <v>D 70000</v>
      </c>
      <c r="G157">
        <v>270000</v>
      </c>
      <c r="H157" t="s">
        <v>13</v>
      </c>
      <c r="I157" t="str">
        <f t="shared" si="9"/>
        <v>Dimsum Kepiting = 15000</v>
      </c>
      <c r="J157">
        <f t="shared" si="10"/>
        <v>15</v>
      </c>
      <c r="K157" t="str">
        <f t="shared" si="11"/>
        <v>Dimsum Kepiting</v>
      </c>
    </row>
    <row r="158" spans="1:11" x14ac:dyDescent="0.25">
      <c r="A158" s="1" t="s">
        <v>46</v>
      </c>
      <c r="B158" t="s">
        <v>16</v>
      </c>
      <c r="C158" t="s">
        <v>9</v>
      </c>
      <c r="D158">
        <v>7</v>
      </c>
      <c r="E158">
        <v>15000</v>
      </c>
      <c r="F158" t="str">
        <f t="shared" si="8"/>
        <v>D 05000</v>
      </c>
      <c r="G158">
        <v>105000</v>
      </c>
      <c r="H158" t="s">
        <v>10</v>
      </c>
      <c r="I158" t="str">
        <f t="shared" si="9"/>
        <v>Dimsum Ayam Jamur = 15000</v>
      </c>
      <c r="J158">
        <f t="shared" si="10"/>
        <v>17</v>
      </c>
      <c r="K158" t="str">
        <f t="shared" si="11"/>
        <v>Dimsum Ayam Jamur</v>
      </c>
    </row>
    <row r="159" spans="1:11" x14ac:dyDescent="0.25">
      <c r="A159" s="1" t="s">
        <v>23</v>
      </c>
      <c r="B159" t="s">
        <v>8</v>
      </c>
      <c r="C159" t="s">
        <v>9</v>
      </c>
      <c r="D159">
        <v>15</v>
      </c>
      <c r="E159">
        <v>12000</v>
      </c>
      <c r="F159" t="str">
        <f t="shared" si="8"/>
        <v>D 80000</v>
      </c>
      <c r="G159">
        <v>180000</v>
      </c>
      <c r="H159" t="s">
        <v>18</v>
      </c>
      <c r="I159" t="str">
        <f t="shared" si="9"/>
        <v>Dimsum Ayam = 12000</v>
      </c>
      <c r="J159">
        <f t="shared" si="10"/>
        <v>11</v>
      </c>
      <c r="K159" t="str">
        <f t="shared" si="11"/>
        <v>Dimsum Ayam</v>
      </c>
    </row>
    <row r="160" spans="1:11" x14ac:dyDescent="0.25">
      <c r="A160" s="1" t="s">
        <v>47</v>
      </c>
      <c r="B160" t="s">
        <v>26</v>
      </c>
      <c r="C160" t="s">
        <v>9</v>
      </c>
      <c r="D160">
        <v>16</v>
      </c>
      <c r="E160">
        <v>15000</v>
      </c>
      <c r="F160" t="str">
        <f t="shared" si="8"/>
        <v>D 40000</v>
      </c>
      <c r="G160">
        <v>240000</v>
      </c>
      <c r="H160" t="s">
        <v>18</v>
      </c>
      <c r="I160" t="str">
        <f t="shared" si="9"/>
        <v>Dimsum Kepiting = 15000</v>
      </c>
      <c r="J160">
        <f t="shared" si="10"/>
        <v>15</v>
      </c>
      <c r="K160" t="str">
        <f t="shared" si="11"/>
        <v>Dimsum Kepiting</v>
      </c>
    </row>
    <row r="161" spans="1:11" x14ac:dyDescent="0.25">
      <c r="A161" s="1" t="s">
        <v>81</v>
      </c>
      <c r="B161" t="s">
        <v>16</v>
      </c>
      <c r="C161" t="s">
        <v>9</v>
      </c>
      <c r="D161">
        <v>7</v>
      </c>
      <c r="E161">
        <v>20000</v>
      </c>
      <c r="F161" t="str">
        <f t="shared" si="8"/>
        <v>D 40000</v>
      </c>
      <c r="G161">
        <v>140000</v>
      </c>
      <c r="H161" t="s">
        <v>20</v>
      </c>
      <c r="I161" t="str">
        <f t="shared" si="9"/>
        <v>Dimsum Ayam Jamur = 20000</v>
      </c>
      <c r="J161">
        <f t="shared" si="10"/>
        <v>17</v>
      </c>
      <c r="K161" t="str">
        <f t="shared" si="11"/>
        <v>Dimsum Ayam Jamur</v>
      </c>
    </row>
    <row r="162" spans="1:11" x14ac:dyDescent="0.25">
      <c r="A162" s="1" t="s">
        <v>94</v>
      </c>
      <c r="B162" t="s">
        <v>8</v>
      </c>
      <c r="C162" t="s">
        <v>9</v>
      </c>
      <c r="D162">
        <v>17</v>
      </c>
      <c r="E162">
        <v>20000</v>
      </c>
      <c r="F162" t="str">
        <f t="shared" si="8"/>
        <v>D 40000</v>
      </c>
      <c r="G162">
        <v>340000</v>
      </c>
      <c r="H162" t="s">
        <v>18</v>
      </c>
      <c r="I162" t="str">
        <f t="shared" si="9"/>
        <v>Dimsum Ayam = 20000</v>
      </c>
      <c r="J162">
        <f t="shared" si="10"/>
        <v>11</v>
      </c>
      <c r="K162" t="str">
        <f t="shared" si="11"/>
        <v>Dimsum Ayam</v>
      </c>
    </row>
    <row r="163" spans="1:11" x14ac:dyDescent="0.25">
      <c r="A163" s="1" t="s">
        <v>95</v>
      </c>
      <c r="B163" t="s">
        <v>22</v>
      </c>
      <c r="C163" t="s">
        <v>9</v>
      </c>
      <c r="D163">
        <v>9</v>
      </c>
      <c r="E163">
        <v>18000</v>
      </c>
      <c r="F163" t="str">
        <f t="shared" si="8"/>
        <v>D 62000</v>
      </c>
      <c r="G163">
        <v>162000</v>
      </c>
      <c r="H163" t="s">
        <v>10</v>
      </c>
      <c r="I163" t="str">
        <f t="shared" si="9"/>
        <v>Dimsum Nori = 18000</v>
      </c>
      <c r="J163">
        <f t="shared" si="10"/>
        <v>11</v>
      </c>
      <c r="K163" t="str">
        <f t="shared" si="11"/>
        <v>Dimsum Nori</v>
      </c>
    </row>
    <row r="164" spans="1:11" x14ac:dyDescent="0.25">
      <c r="A164" s="1" t="s">
        <v>78</v>
      </c>
      <c r="B164" t="s">
        <v>16</v>
      </c>
      <c r="C164" t="s">
        <v>9</v>
      </c>
      <c r="D164">
        <v>9</v>
      </c>
      <c r="E164">
        <v>15000</v>
      </c>
      <c r="F164" t="str">
        <f t="shared" si="8"/>
        <v>D 35000</v>
      </c>
      <c r="G164">
        <v>135000</v>
      </c>
      <c r="H164" t="s">
        <v>18</v>
      </c>
      <c r="I164" t="str">
        <f t="shared" si="9"/>
        <v>Dimsum Ayam Jamur = 15000</v>
      </c>
      <c r="J164">
        <f t="shared" si="10"/>
        <v>17</v>
      </c>
      <c r="K164" t="str">
        <f t="shared" si="11"/>
        <v>Dimsum Ayam Jamur</v>
      </c>
    </row>
    <row r="165" spans="1:11" x14ac:dyDescent="0.25">
      <c r="A165" s="1" t="s">
        <v>72</v>
      </c>
      <c r="B165" t="s">
        <v>12</v>
      </c>
      <c r="C165" t="s">
        <v>9</v>
      </c>
      <c r="D165">
        <v>2</v>
      </c>
      <c r="E165">
        <v>12000</v>
      </c>
      <c r="F165" t="str">
        <f t="shared" si="8"/>
        <v>D 4000</v>
      </c>
      <c r="G165">
        <v>24000</v>
      </c>
      <c r="H165" t="s">
        <v>20</v>
      </c>
      <c r="I165" t="str">
        <f t="shared" si="9"/>
        <v>Dimsum Udang = 12000</v>
      </c>
      <c r="J165">
        <f t="shared" si="10"/>
        <v>12</v>
      </c>
      <c r="K165" t="str">
        <f t="shared" si="11"/>
        <v>Dimsum Udang</v>
      </c>
    </row>
    <row r="166" spans="1:11" x14ac:dyDescent="0.25">
      <c r="A166" s="1" t="s">
        <v>24</v>
      </c>
      <c r="B166" t="s">
        <v>16</v>
      </c>
      <c r="C166" t="s">
        <v>9</v>
      </c>
      <c r="D166">
        <v>2</v>
      </c>
      <c r="E166">
        <v>12000</v>
      </c>
      <c r="F166" t="str">
        <f t="shared" si="8"/>
        <v>D 4000</v>
      </c>
      <c r="G166">
        <v>24000</v>
      </c>
      <c r="H166" t="s">
        <v>18</v>
      </c>
      <c r="I166" t="str">
        <f t="shared" si="9"/>
        <v>Dimsum Ayam Jamur = 12000</v>
      </c>
      <c r="J166">
        <f t="shared" si="10"/>
        <v>17</v>
      </c>
      <c r="K166" t="str">
        <f t="shared" si="11"/>
        <v>Dimsum Ayam Jamur</v>
      </c>
    </row>
    <row r="167" spans="1:11" x14ac:dyDescent="0.25">
      <c r="A167" s="1" t="s">
        <v>82</v>
      </c>
      <c r="B167" t="s">
        <v>16</v>
      </c>
      <c r="C167" t="s">
        <v>9</v>
      </c>
      <c r="D167">
        <v>10</v>
      </c>
      <c r="E167">
        <v>15000</v>
      </c>
      <c r="F167" t="str">
        <f t="shared" si="8"/>
        <v>D 50000</v>
      </c>
      <c r="G167">
        <v>150000</v>
      </c>
      <c r="H167" t="s">
        <v>13</v>
      </c>
      <c r="I167" t="str">
        <f t="shared" si="9"/>
        <v>Dimsum Ayam Jamur = 15000</v>
      </c>
      <c r="J167">
        <f t="shared" si="10"/>
        <v>17</v>
      </c>
      <c r="K167" t="str">
        <f t="shared" si="11"/>
        <v>Dimsum Ayam Jamur</v>
      </c>
    </row>
    <row r="168" spans="1:11" x14ac:dyDescent="0.25">
      <c r="A168" s="1" t="s">
        <v>23</v>
      </c>
      <c r="B168" t="s">
        <v>12</v>
      </c>
      <c r="C168" t="s">
        <v>9</v>
      </c>
      <c r="D168">
        <v>2</v>
      </c>
      <c r="E168">
        <v>15000</v>
      </c>
      <c r="F168" t="str">
        <f t="shared" si="8"/>
        <v>D 0000</v>
      </c>
      <c r="G168">
        <v>30000</v>
      </c>
      <c r="H168" t="s">
        <v>10</v>
      </c>
      <c r="I168" t="str">
        <f t="shared" si="9"/>
        <v>Dimsum Udang = 15000</v>
      </c>
      <c r="J168">
        <f t="shared" si="10"/>
        <v>12</v>
      </c>
      <c r="K168" t="str">
        <f t="shared" si="11"/>
        <v>Dimsum Udang</v>
      </c>
    </row>
    <row r="169" spans="1:11" x14ac:dyDescent="0.25">
      <c r="A169" s="1" t="s">
        <v>69</v>
      </c>
      <c r="B169" t="s">
        <v>8</v>
      </c>
      <c r="C169" t="s">
        <v>9</v>
      </c>
      <c r="D169">
        <v>7</v>
      </c>
      <c r="E169">
        <v>12000</v>
      </c>
      <c r="F169" t="str">
        <f t="shared" si="8"/>
        <v>D 4000</v>
      </c>
      <c r="G169">
        <v>84000</v>
      </c>
      <c r="H169" t="s">
        <v>20</v>
      </c>
      <c r="I169" t="str">
        <f t="shared" si="9"/>
        <v>Dimsum Ayam = 12000</v>
      </c>
      <c r="J169">
        <f t="shared" si="10"/>
        <v>11</v>
      </c>
      <c r="K169" t="str">
        <f t="shared" si="11"/>
        <v>Dimsum Ayam</v>
      </c>
    </row>
    <row r="170" spans="1:11" x14ac:dyDescent="0.25">
      <c r="A170" s="1" t="s">
        <v>77</v>
      </c>
      <c r="B170" t="s">
        <v>12</v>
      </c>
      <c r="C170" t="s">
        <v>9</v>
      </c>
      <c r="D170">
        <v>1</v>
      </c>
      <c r="E170">
        <v>12000</v>
      </c>
      <c r="F170" t="str">
        <f t="shared" si="8"/>
        <v>D 2000</v>
      </c>
      <c r="G170">
        <v>12000</v>
      </c>
      <c r="H170" t="s">
        <v>18</v>
      </c>
      <c r="I170" t="str">
        <f t="shared" si="9"/>
        <v>Dimsum Udang = 12000</v>
      </c>
      <c r="J170">
        <f t="shared" si="10"/>
        <v>12</v>
      </c>
      <c r="K170" t="str">
        <f t="shared" si="11"/>
        <v>Dimsum Udang</v>
      </c>
    </row>
    <row r="171" spans="1:11" x14ac:dyDescent="0.25">
      <c r="A171" s="1" t="s">
        <v>28</v>
      </c>
      <c r="B171" t="s">
        <v>16</v>
      </c>
      <c r="C171" t="s">
        <v>9</v>
      </c>
      <c r="D171">
        <v>12</v>
      </c>
      <c r="E171">
        <v>20000</v>
      </c>
      <c r="F171" t="str">
        <f t="shared" si="8"/>
        <v>D 40000</v>
      </c>
      <c r="G171">
        <v>240000</v>
      </c>
      <c r="H171" t="s">
        <v>10</v>
      </c>
      <c r="I171" t="str">
        <f t="shared" si="9"/>
        <v>Dimsum Ayam Jamur = 20000</v>
      </c>
      <c r="J171">
        <f t="shared" si="10"/>
        <v>17</v>
      </c>
      <c r="K171" t="str">
        <f t="shared" si="11"/>
        <v>Dimsum Ayam Jamur</v>
      </c>
    </row>
    <row r="172" spans="1:11" x14ac:dyDescent="0.25">
      <c r="A172" s="1" t="s">
        <v>46</v>
      </c>
      <c r="B172" t="s">
        <v>26</v>
      </c>
      <c r="C172" t="s">
        <v>9</v>
      </c>
      <c r="D172">
        <v>16</v>
      </c>
      <c r="E172">
        <v>12000</v>
      </c>
      <c r="F172" t="str">
        <f t="shared" si="8"/>
        <v>D 92000</v>
      </c>
      <c r="G172">
        <v>192000</v>
      </c>
      <c r="H172" t="s">
        <v>10</v>
      </c>
      <c r="I172" t="str">
        <f t="shared" si="9"/>
        <v>Dimsum Kepiting = 12000</v>
      </c>
      <c r="J172">
        <f t="shared" si="10"/>
        <v>15</v>
      </c>
      <c r="K172" t="str">
        <f t="shared" si="11"/>
        <v>Dimsum Kepiting</v>
      </c>
    </row>
    <row r="173" spans="1:11" x14ac:dyDescent="0.25">
      <c r="A173" s="1" t="s">
        <v>45</v>
      </c>
      <c r="B173" t="s">
        <v>8</v>
      </c>
      <c r="C173" t="s">
        <v>9</v>
      </c>
      <c r="D173">
        <v>9</v>
      </c>
      <c r="E173">
        <v>20000</v>
      </c>
      <c r="F173" t="str">
        <f t="shared" si="8"/>
        <v>D 80000</v>
      </c>
      <c r="G173">
        <v>180000</v>
      </c>
      <c r="H173" t="s">
        <v>10</v>
      </c>
      <c r="I173" t="str">
        <f t="shared" si="9"/>
        <v>Dimsum Ayam = 20000</v>
      </c>
      <c r="J173">
        <f t="shared" si="10"/>
        <v>11</v>
      </c>
      <c r="K173" t="str">
        <f t="shared" si="11"/>
        <v>Dimsum Ayam</v>
      </c>
    </row>
    <row r="174" spans="1:11" x14ac:dyDescent="0.25">
      <c r="A174" s="1" t="s">
        <v>32</v>
      </c>
      <c r="B174" t="s">
        <v>22</v>
      </c>
      <c r="C174" t="s">
        <v>9</v>
      </c>
      <c r="D174">
        <v>14</v>
      </c>
      <c r="E174">
        <v>12000</v>
      </c>
      <c r="F174" t="str">
        <f t="shared" si="8"/>
        <v>D 68000</v>
      </c>
      <c r="G174">
        <v>168000</v>
      </c>
      <c r="H174" t="s">
        <v>20</v>
      </c>
      <c r="I174" t="str">
        <f t="shared" si="9"/>
        <v>Dimsum Nori = 12000</v>
      </c>
      <c r="J174">
        <f t="shared" si="10"/>
        <v>11</v>
      </c>
      <c r="K174" t="str">
        <f t="shared" si="11"/>
        <v>Dimsum Nori</v>
      </c>
    </row>
    <row r="175" spans="1:11" x14ac:dyDescent="0.25">
      <c r="A175" s="1" t="s">
        <v>96</v>
      </c>
      <c r="B175" t="s">
        <v>26</v>
      </c>
      <c r="C175" t="s">
        <v>9</v>
      </c>
      <c r="D175">
        <v>10</v>
      </c>
      <c r="E175">
        <v>15000</v>
      </c>
      <c r="F175" t="str">
        <f t="shared" si="8"/>
        <v>D 50000</v>
      </c>
      <c r="G175">
        <v>150000</v>
      </c>
      <c r="H175" t="s">
        <v>10</v>
      </c>
      <c r="I175" t="str">
        <f t="shared" si="9"/>
        <v>Dimsum Kepiting = 15000</v>
      </c>
      <c r="J175">
        <f t="shared" si="10"/>
        <v>15</v>
      </c>
      <c r="K175" t="str">
        <f t="shared" si="11"/>
        <v>Dimsum Kepiting</v>
      </c>
    </row>
    <row r="176" spans="1:11" x14ac:dyDescent="0.25">
      <c r="A176" s="1" t="s">
        <v>97</v>
      </c>
      <c r="B176" t="s">
        <v>12</v>
      </c>
      <c r="C176" t="s">
        <v>9</v>
      </c>
      <c r="D176">
        <v>19</v>
      </c>
      <c r="E176">
        <v>18000</v>
      </c>
      <c r="F176" t="str">
        <f t="shared" si="8"/>
        <v>D 42000</v>
      </c>
      <c r="G176">
        <v>342000</v>
      </c>
      <c r="H176" t="s">
        <v>18</v>
      </c>
      <c r="I176" t="str">
        <f t="shared" si="9"/>
        <v>Dimsum Udang = 18000</v>
      </c>
      <c r="J176">
        <f t="shared" si="10"/>
        <v>12</v>
      </c>
      <c r="K176" t="str">
        <f t="shared" si="11"/>
        <v>Dimsum Udang</v>
      </c>
    </row>
    <row r="177" spans="1:11" x14ac:dyDescent="0.25">
      <c r="A177" s="1" t="s">
        <v>38</v>
      </c>
      <c r="B177" t="s">
        <v>8</v>
      </c>
      <c r="C177" t="s">
        <v>9</v>
      </c>
      <c r="D177">
        <v>1</v>
      </c>
      <c r="E177">
        <v>15000</v>
      </c>
      <c r="F177" t="str">
        <f t="shared" si="8"/>
        <v>D 5000</v>
      </c>
      <c r="G177">
        <v>15000</v>
      </c>
      <c r="H177" t="s">
        <v>10</v>
      </c>
      <c r="I177" t="str">
        <f t="shared" si="9"/>
        <v>Dimsum Ayam = 15000</v>
      </c>
      <c r="J177">
        <f t="shared" si="10"/>
        <v>11</v>
      </c>
      <c r="K177" t="str">
        <f t="shared" si="11"/>
        <v>Dimsum Ayam</v>
      </c>
    </row>
    <row r="178" spans="1:11" x14ac:dyDescent="0.25">
      <c r="A178" s="1" t="s">
        <v>54</v>
      </c>
      <c r="B178" t="s">
        <v>12</v>
      </c>
      <c r="C178" t="s">
        <v>9</v>
      </c>
      <c r="D178">
        <v>10</v>
      </c>
      <c r="E178">
        <v>15000</v>
      </c>
      <c r="F178" t="str">
        <f t="shared" si="8"/>
        <v>D 50000</v>
      </c>
      <c r="G178">
        <v>150000</v>
      </c>
      <c r="H178" t="s">
        <v>10</v>
      </c>
      <c r="I178" t="str">
        <f t="shared" si="9"/>
        <v>Dimsum Udang = 15000</v>
      </c>
      <c r="J178">
        <f t="shared" si="10"/>
        <v>12</v>
      </c>
      <c r="K178" t="str">
        <f t="shared" si="11"/>
        <v>Dimsum Udang</v>
      </c>
    </row>
    <row r="179" spans="1:11" x14ac:dyDescent="0.25">
      <c r="A179" s="1" t="s">
        <v>71</v>
      </c>
      <c r="B179" t="s">
        <v>22</v>
      </c>
      <c r="C179" t="s">
        <v>9</v>
      </c>
      <c r="D179">
        <v>20</v>
      </c>
      <c r="E179">
        <v>15000</v>
      </c>
      <c r="F179" t="str">
        <f t="shared" si="8"/>
        <v>D 00000</v>
      </c>
      <c r="G179">
        <v>300000</v>
      </c>
      <c r="H179" t="s">
        <v>13</v>
      </c>
      <c r="I179" t="str">
        <f t="shared" si="9"/>
        <v>Dimsum Nori = 15000</v>
      </c>
      <c r="J179">
        <f t="shared" si="10"/>
        <v>11</v>
      </c>
      <c r="K179" t="str">
        <f t="shared" si="11"/>
        <v>Dimsum Nori</v>
      </c>
    </row>
    <row r="180" spans="1:11" x14ac:dyDescent="0.25">
      <c r="A180" s="1" t="s">
        <v>90</v>
      </c>
      <c r="B180" t="s">
        <v>12</v>
      </c>
      <c r="C180" t="s">
        <v>9</v>
      </c>
      <c r="D180">
        <v>8</v>
      </c>
      <c r="E180">
        <v>18000</v>
      </c>
      <c r="F180" t="str">
        <f t="shared" si="8"/>
        <v>D 44000</v>
      </c>
      <c r="G180">
        <v>144000</v>
      </c>
      <c r="H180" t="s">
        <v>10</v>
      </c>
      <c r="I180" t="str">
        <f t="shared" si="9"/>
        <v>Dimsum Udang = 18000</v>
      </c>
      <c r="J180">
        <f t="shared" si="10"/>
        <v>12</v>
      </c>
      <c r="K180" t="str">
        <f t="shared" si="11"/>
        <v>Dimsum Udang</v>
      </c>
    </row>
    <row r="181" spans="1:11" x14ac:dyDescent="0.25">
      <c r="A181" s="1" t="s">
        <v>45</v>
      </c>
      <c r="B181" t="s">
        <v>26</v>
      </c>
      <c r="C181" t="s">
        <v>9</v>
      </c>
      <c r="D181">
        <v>14</v>
      </c>
      <c r="E181">
        <v>18000</v>
      </c>
      <c r="F181" t="str">
        <f t="shared" si="8"/>
        <v>D 52000</v>
      </c>
      <c r="G181">
        <v>252000</v>
      </c>
      <c r="H181" t="s">
        <v>10</v>
      </c>
      <c r="I181" t="str">
        <f t="shared" si="9"/>
        <v>Dimsum Kepiting = 18000</v>
      </c>
      <c r="J181">
        <f t="shared" si="10"/>
        <v>15</v>
      </c>
      <c r="K181" t="str">
        <f t="shared" si="11"/>
        <v>Dimsum Kepiting</v>
      </c>
    </row>
    <row r="182" spans="1:11" x14ac:dyDescent="0.25">
      <c r="A182" s="1" t="s">
        <v>52</v>
      </c>
      <c r="B182" t="s">
        <v>22</v>
      </c>
      <c r="C182" t="s">
        <v>9</v>
      </c>
      <c r="D182">
        <v>9</v>
      </c>
      <c r="E182">
        <v>12000</v>
      </c>
      <c r="F182" t="str">
        <f t="shared" si="8"/>
        <v>D 08000</v>
      </c>
      <c r="G182">
        <v>108000</v>
      </c>
      <c r="H182" t="s">
        <v>20</v>
      </c>
      <c r="I182" t="str">
        <f t="shared" si="9"/>
        <v>Dimsum Nori = 12000</v>
      </c>
      <c r="J182">
        <f t="shared" si="10"/>
        <v>11</v>
      </c>
      <c r="K182" t="str">
        <f t="shared" si="11"/>
        <v>Dimsum Nori</v>
      </c>
    </row>
    <row r="183" spans="1:11" x14ac:dyDescent="0.25">
      <c r="A183" s="1" t="s">
        <v>30</v>
      </c>
      <c r="B183" t="s">
        <v>16</v>
      </c>
      <c r="C183" t="s">
        <v>9</v>
      </c>
      <c r="D183">
        <v>6</v>
      </c>
      <c r="E183">
        <v>15000</v>
      </c>
      <c r="F183" t="str">
        <f t="shared" si="8"/>
        <v>D 0000</v>
      </c>
      <c r="G183">
        <v>90000</v>
      </c>
      <c r="H183" t="s">
        <v>13</v>
      </c>
      <c r="I183" t="str">
        <f t="shared" si="9"/>
        <v>Dimsum Ayam Jamur = 15000</v>
      </c>
      <c r="J183">
        <f t="shared" si="10"/>
        <v>17</v>
      </c>
      <c r="K183" t="str">
        <f t="shared" si="11"/>
        <v>Dimsum Ayam Jamur</v>
      </c>
    </row>
    <row r="184" spans="1:11" x14ac:dyDescent="0.25">
      <c r="A184" s="1" t="s">
        <v>92</v>
      </c>
      <c r="B184" t="s">
        <v>22</v>
      </c>
      <c r="C184" t="s">
        <v>9</v>
      </c>
      <c r="D184">
        <v>13</v>
      </c>
      <c r="E184">
        <v>15000</v>
      </c>
      <c r="F184" t="str">
        <f t="shared" si="8"/>
        <v>D 95000</v>
      </c>
      <c r="G184">
        <v>195000</v>
      </c>
      <c r="H184" t="s">
        <v>13</v>
      </c>
      <c r="I184" t="str">
        <f t="shared" si="9"/>
        <v>Dimsum Nori = 15000</v>
      </c>
      <c r="J184">
        <f t="shared" si="10"/>
        <v>11</v>
      </c>
      <c r="K184" t="str">
        <f t="shared" si="11"/>
        <v>Dimsum Nori</v>
      </c>
    </row>
    <row r="185" spans="1:11" x14ac:dyDescent="0.25">
      <c r="A185" s="1" t="s">
        <v>33</v>
      </c>
      <c r="B185" t="s">
        <v>22</v>
      </c>
      <c r="C185" t="s">
        <v>9</v>
      </c>
      <c r="D185">
        <v>6</v>
      </c>
      <c r="E185">
        <v>12000</v>
      </c>
      <c r="F185" t="str">
        <f t="shared" si="8"/>
        <v>D 2000</v>
      </c>
      <c r="G185">
        <v>72000</v>
      </c>
      <c r="H185" t="s">
        <v>13</v>
      </c>
      <c r="I185" t="str">
        <f t="shared" si="9"/>
        <v>Dimsum Nori = 12000</v>
      </c>
      <c r="J185">
        <f t="shared" si="10"/>
        <v>11</v>
      </c>
      <c r="K185" t="str">
        <f t="shared" si="11"/>
        <v>Dimsum Nori</v>
      </c>
    </row>
    <row r="186" spans="1:11" x14ac:dyDescent="0.25">
      <c r="A186" s="1" t="s">
        <v>98</v>
      </c>
      <c r="B186" t="s">
        <v>12</v>
      </c>
      <c r="C186" t="s">
        <v>9</v>
      </c>
      <c r="D186">
        <v>7</v>
      </c>
      <c r="E186">
        <v>18000</v>
      </c>
      <c r="F186" t="str">
        <f t="shared" si="8"/>
        <v>D 26000</v>
      </c>
      <c r="G186">
        <v>126000</v>
      </c>
      <c r="H186" t="s">
        <v>13</v>
      </c>
      <c r="I186" t="str">
        <f t="shared" si="9"/>
        <v>Dimsum Udang = 18000</v>
      </c>
      <c r="J186">
        <f t="shared" si="10"/>
        <v>12</v>
      </c>
      <c r="K186" t="str">
        <f t="shared" si="11"/>
        <v>Dimsum Udang</v>
      </c>
    </row>
    <row r="187" spans="1:11" x14ac:dyDescent="0.25">
      <c r="A187" s="1" t="s">
        <v>75</v>
      </c>
      <c r="B187" t="s">
        <v>22</v>
      </c>
      <c r="C187" t="s">
        <v>9</v>
      </c>
      <c r="D187">
        <v>1</v>
      </c>
      <c r="E187">
        <v>12000</v>
      </c>
      <c r="F187" t="str">
        <f t="shared" si="8"/>
        <v>D 2000</v>
      </c>
      <c r="G187">
        <v>12000</v>
      </c>
      <c r="H187" t="s">
        <v>18</v>
      </c>
      <c r="I187" t="str">
        <f t="shared" si="9"/>
        <v>Dimsum Nori = 12000</v>
      </c>
      <c r="J187">
        <f t="shared" si="10"/>
        <v>11</v>
      </c>
      <c r="K187" t="str">
        <f t="shared" si="11"/>
        <v>Dimsum Nori</v>
      </c>
    </row>
    <row r="188" spans="1:11" x14ac:dyDescent="0.25">
      <c r="A188" s="1" t="s">
        <v>48</v>
      </c>
      <c r="B188" t="s">
        <v>22</v>
      </c>
      <c r="C188" t="s">
        <v>9</v>
      </c>
      <c r="D188">
        <v>15</v>
      </c>
      <c r="E188">
        <v>20000</v>
      </c>
      <c r="F188" t="str">
        <f t="shared" si="8"/>
        <v>D 00000</v>
      </c>
      <c r="G188">
        <v>300000</v>
      </c>
      <c r="H188" t="s">
        <v>13</v>
      </c>
      <c r="I188" t="str">
        <f t="shared" si="9"/>
        <v>Dimsum Nori = 20000</v>
      </c>
      <c r="J188">
        <f t="shared" si="10"/>
        <v>11</v>
      </c>
      <c r="K188" t="str">
        <f t="shared" si="11"/>
        <v>Dimsum Nori</v>
      </c>
    </row>
    <row r="189" spans="1:11" x14ac:dyDescent="0.25">
      <c r="A189" s="1" t="s">
        <v>40</v>
      </c>
      <c r="B189" t="s">
        <v>8</v>
      </c>
      <c r="C189" t="s">
        <v>9</v>
      </c>
      <c r="D189">
        <v>18</v>
      </c>
      <c r="E189">
        <v>12000</v>
      </c>
      <c r="F189" t="str">
        <f t="shared" si="8"/>
        <v>D 16000</v>
      </c>
      <c r="G189">
        <v>216000</v>
      </c>
      <c r="H189" t="s">
        <v>10</v>
      </c>
      <c r="I189" t="str">
        <f t="shared" si="9"/>
        <v>Dimsum Ayam = 12000</v>
      </c>
      <c r="J189">
        <f t="shared" si="10"/>
        <v>11</v>
      </c>
      <c r="K189" t="str">
        <f t="shared" si="11"/>
        <v>Dimsum Ayam</v>
      </c>
    </row>
    <row r="190" spans="1:11" x14ac:dyDescent="0.25">
      <c r="A190" s="1" t="s">
        <v>51</v>
      </c>
      <c r="B190" t="s">
        <v>26</v>
      </c>
      <c r="C190" t="s">
        <v>9</v>
      </c>
      <c r="D190">
        <v>2</v>
      </c>
      <c r="E190">
        <v>12000</v>
      </c>
      <c r="F190" t="str">
        <f t="shared" si="8"/>
        <v>D 4000</v>
      </c>
      <c r="G190">
        <v>24000</v>
      </c>
      <c r="H190" t="s">
        <v>10</v>
      </c>
      <c r="I190" t="str">
        <f t="shared" si="9"/>
        <v>Dimsum Kepiting = 12000</v>
      </c>
      <c r="J190">
        <f t="shared" si="10"/>
        <v>15</v>
      </c>
      <c r="K190" t="str">
        <f t="shared" si="11"/>
        <v>Dimsum Kepiting</v>
      </c>
    </row>
    <row r="191" spans="1:11" x14ac:dyDescent="0.25">
      <c r="A191" s="1" t="s">
        <v>35</v>
      </c>
      <c r="B191" t="s">
        <v>16</v>
      </c>
      <c r="C191" t="s">
        <v>9</v>
      </c>
      <c r="D191">
        <v>5</v>
      </c>
      <c r="E191">
        <v>15000</v>
      </c>
      <c r="F191" t="str">
        <f t="shared" si="8"/>
        <v>D 5000</v>
      </c>
      <c r="G191">
        <v>75000</v>
      </c>
      <c r="H191" t="s">
        <v>10</v>
      </c>
      <c r="I191" t="str">
        <f t="shared" si="9"/>
        <v>Dimsum Ayam Jamur = 15000</v>
      </c>
      <c r="J191">
        <f t="shared" si="10"/>
        <v>17</v>
      </c>
      <c r="K191" t="str">
        <f t="shared" si="11"/>
        <v>Dimsum Ayam Jamur</v>
      </c>
    </row>
    <row r="192" spans="1:11" x14ac:dyDescent="0.25">
      <c r="A192" s="1" t="s">
        <v>65</v>
      </c>
      <c r="B192" t="s">
        <v>26</v>
      </c>
      <c r="C192" t="s">
        <v>9</v>
      </c>
      <c r="D192">
        <v>1</v>
      </c>
      <c r="E192">
        <v>15000</v>
      </c>
      <c r="F192" t="str">
        <f t="shared" si="8"/>
        <v>D 5000</v>
      </c>
      <c r="G192">
        <v>15000</v>
      </c>
      <c r="H192" t="s">
        <v>10</v>
      </c>
      <c r="I192" t="str">
        <f t="shared" si="9"/>
        <v>Dimsum Kepiting = 15000</v>
      </c>
      <c r="J192">
        <f t="shared" si="10"/>
        <v>15</v>
      </c>
      <c r="K192" t="str">
        <f t="shared" si="11"/>
        <v>Dimsum Kepiting</v>
      </c>
    </row>
    <row r="193" spans="1:11" x14ac:dyDescent="0.25">
      <c r="A193" s="1" t="s">
        <v>74</v>
      </c>
      <c r="B193" t="s">
        <v>12</v>
      </c>
      <c r="C193" t="s">
        <v>9</v>
      </c>
      <c r="D193">
        <v>3</v>
      </c>
      <c r="E193">
        <v>18000</v>
      </c>
      <c r="F193" t="str">
        <f t="shared" si="8"/>
        <v>D 4000</v>
      </c>
      <c r="G193">
        <v>54000</v>
      </c>
      <c r="H193" t="s">
        <v>18</v>
      </c>
      <c r="I193" t="str">
        <f t="shared" si="9"/>
        <v>Dimsum Udang = 18000</v>
      </c>
      <c r="J193">
        <f t="shared" si="10"/>
        <v>12</v>
      </c>
      <c r="K193" t="str">
        <f t="shared" si="11"/>
        <v>Dimsum Udang</v>
      </c>
    </row>
    <row r="194" spans="1:11" x14ac:dyDescent="0.25">
      <c r="A194" s="1" t="s">
        <v>14</v>
      </c>
      <c r="B194" t="s">
        <v>22</v>
      </c>
      <c r="C194" t="s">
        <v>9</v>
      </c>
      <c r="D194">
        <v>1</v>
      </c>
      <c r="E194">
        <v>20000</v>
      </c>
      <c r="F194" t="str">
        <f t="shared" si="8"/>
        <v>D 0000</v>
      </c>
      <c r="G194">
        <v>20000</v>
      </c>
      <c r="H194" t="s">
        <v>18</v>
      </c>
      <c r="I194" t="str">
        <f t="shared" si="9"/>
        <v>Dimsum Nori = 20000</v>
      </c>
      <c r="J194">
        <f t="shared" si="10"/>
        <v>11</v>
      </c>
      <c r="K194" t="str">
        <f t="shared" si="11"/>
        <v>Dimsum Nori</v>
      </c>
    </row>
    <row r="195" spans="1:11" x14ac:dyDescent="0.25">
      <c r="A195" s="1" t="s">
        <v>37</v>
      </c>
      <c r="B195" t="s">
        <v>12</v>
      </c>
      <c r="C195" t="s">
        <v>9</v>
      </c>
      <c r="D195">
        <v>10</v>
      </c>
      <c r="E195">
        <v>12000</v>
      </c>
      <c r="F195" t="str">
        <f t="shared" ref="F195:F258" si="12">REPLACE(G195,1,1,"D ")</f>
        <v>D 20000</v>
      </c>
      <c r="G195">
        <v>120000</v>
      </c>
      <c r="H195" t="s">
        <v>13</v>
      </c>
      <c r="I195" t="str">
        <f t="shared" ref="I195:I258" si="13">CONCATENATE(B195, " = ", E195)</f>
        <v>Dimsum Udang = 12000</v>
      </c>
      <c r="J195">
        <f t="shared" ref="J195:J258" si="14">LEN(B195)</f>
        <v>12</v>
      </c>
      <c r="K195" t="str">
        <f t="shared" ref="K195:K258" si="15">TRIM(B195)</f>
        <v>Dimsum Udang</v>
      </c>
    </row>
    <row r="196" spans="1:11" x14ac:dyDescent="0.25">
      <c r="A196" s="1" t="s">
        <v>99</v>
      </c>
      <c r="B196" t="s">
        <v>12</v>
      </c>
      <c r="C196" t="s">
        <v>9</v>
      </c>
      <c r="D196">
        <v>1</v>
      </c>
      <c r="E196">
        <v>12000</v>
      </c>
      <c r="F196" t="str">
        <f t="shared" si="12"/>
        <v>D 2000</v>
      </c>
      <c r="G196">
        <v>12000</v>
      </c>
      <c r="H196" t="s">
        <v>10</v>
      </c>
      <c r="I196" t="str">
        <f t="shared" si="13"/>
        <v>Dimsum Udang = 12000</v>
      </c>
      <c r="J196">
        <f t="shared" si="14"/>
        <v>12</v>
      </c>
      <c r="K196" t="str">
        <f t="shared" si="15"/>
        <v>Dimsum Udang</v>
      </c>
    </row>
    <row r="197" spans="1:11" x14ac:dyDescent="0.25">
      <c r="A197" s="1" t="s">
        <v>25</v>
      </c>
      <c r="B197" t="s">
        <v>26</v>
      </c>
      <c r="C197" t="s">
        <v>9</v>
      </c>
      <c r="D197">
        <v>1</v>
      </c>
      <c r="E197">
        <v>18000</v>
      </c>
      <c r="F197" t="str">
        <f t="shared" si="12"/>
        <v>D 8000</v>
      </c>
      <c r="G197">
        <v>18000</v>
      </c>
      <c r="H197" t="s">
        <v>13</v>
      </c>
      <c r="I197" t="str">
        <f t="shared" si="13"/>
        <v>Dimsum Kepiting = 18000</v>
      </c>
      <c r="J197">
        <f t="shared" si="14"/>
        <v>15</v>
      </c>
      <c r="K197" t="str">
        <f t="shared" si="15"/>
        <v>Dimsum Kepiting</v>
      </c>
    </row>
    <row r="198" spans="1:11" x14ac:dyDescent="0.25">
      <c r="A198" s="1" t="s">
        <v>57</v>
      </c>
      <c r="B198" t="s">
        <v>12</v>
      </c>
      <c r="C198" t="s">
        <v>9</v>
      </c>
      <c r="D198">
        <v>4</v>
      </c>
      <c r="E198">
        <v>20000</v>
      </c>
      <c r="F198" t="str">
        <f t="shared" si="12"/>
        <v>D 0000</v>
      </c>
      <c r="G198">
        <v>80000</v>
      </c>
      <c r="H198" t="s">
        <v>10</v>
      </c>
      <c r="I198" t="str">
        <f t="shared" si="13"/>
        <v>Dimsum Udang = 20000</v>
      </c>
      <c r="J198">
        <f t="shared" si="14"/>
        <v>12</v>
      </c>
      <c r="K198" t="str">
        <f t="shared" si="15"/>
        <v>Dimsum Udang</v>
      </c>
    </row>
    <row r="199" spans="1:11" x14ac:dyDescent="0.25">
      <c r="A199" s="1" t="s">
        <v>97</v>
      </c>
      <c r="B199" t="s">
        <v>26</v>
      </c>
      <c r="C199" t="s">
        <v>9</v>
      </c>
      <c r="D199">
        <v>9</v>
      </c>
      <c r="E199">
        <v>20000</v>
      </c>
      <c r="F199" t="str">
        <f t="shared" si="12"/>
        <v>D 80000</v>
      </c>
      <c r="G199">
        <v>180000</v>
      </c>
      <c r="H199" t="s">
        <v>18</v>
      </c>
      <c r="I199" t="str">
        <f t="shared" si="13"/>
        <v>Dimsum Kepiting = 20000</v>
      </c>
      <c r="J199">
        <f t="shared" si="14"/>
        <v>15</v>
      </c>
      <c r="K199" t="str">
        <f t="shared" si="15"/>
        <v>Dimsum Kepiting</v>
      </c>
    </row>
    <row r="200" spans="1:11" x14ac:dyDescent="0.25">
      <c r="A200" s="1" t="s">
        <v>17</v>
      </c>
      <c r="B200" t="s">
        <v>16</v>
      </c>
      <c r="C200" t="s">
        <v>9</v>
      </c>
      <c r="D200">
        <v>4</v>
      </c>
      <c r="E200">
        <v>20000</v>
      </c>
      <c r="F200" t="str">
        <f t="shared" si="12"/>
        <v>D 0000</v>
      </c>
      <c r="G200">
        <v>80000</v>
      </c>
      <c r="H200" t="s">
        <v>10</v>
      </c>
      <c r="I200" t="str">
        <f t="shared" si="13"/>
        <v>Dimsum Ayam Jamur = 20000</v>
      </c>
      <c r="J200">
        <f t="shared" si="14"/>
        <v>17</v>
      </c>
      <c r="K200" t="str">
        <f t="shared" si="15"/>
        <v>Dimsum Ayam Jamur</v>
      </c>
    </row>
    <row r="201" spans="1:11" x14ac:dyDescent="0.25">
      <c r="A201" s="1" t="s">
        <v>51</v>
      </c>
      <c r="B201" t="s">
        <v>22</v>
      </c>
      <c r="C201" t="s">
        <v>9</v>
      </c>
      <c r="D201">
        <v>11</v>
      </c>
      <c r="E201">
        <v>20000</v>
      </c>
      <c r="F201" t="str">
        <f t="shared" si="12"/>
        <v>D 20000</v>
      </c>
      <c r="G201">
        <v>220000</v>
      </c>
      <c r="H201" t="s">
        <v>18</v>
      </c>
      <c r="I201" t="str">
        <f t="shared" si="13"/>
        <v>Dimsum Nori = 20000</v>
      </c>
      <c r="J201">
        <f t="shared" si="14"/>
        <v>11</v>
      </c>
      <c r="K201" t="str">
        <f t="shared" si="15"/>
        <v>Dimsum Nori</v>
      </c>
    </row>
    <row r="202" spans="1:11" x14ac:dyDescent="0.25">
      <c r="A202" s="1" t="s">
        <v>63</v>
      </c>
      <c r="B202" t="s">
        <v>8</v>
      </c>
      <c r="C202" t="s">
        <v>9</v>
      </c>
      <c r="D202">
        <v>20</v>
      </c>
      <c r="E202">
        <v>15000</v>
      </c>
      <c r="F202" t="str">
        <f t="shared" si="12"/>
        <v>D 00000</v>
      </c>
      <c r="G202">
        <v>300000</v>
      </c>
      <c r="H202" t="s">
        <v>10</v>
      </c>
      <c r="I202" t="str">
        <f t="shared" si="13"/>
        <v>Dimsum Ayam = 15000</v>
      </c>
      <c r="J202">
        <f t="shared" si="14"/>
        <v>11</v>
      </c>
      <c r="K202" t="str">
        <f t="shared" si="15"/>
        <v>Dimsum Ayam</v>
      </c>
    </row>
    <row r="203" spans="1:11" x14ac:dyDescent="0.25">
      <c r="A203" s="1" t="s">
        <v>14</v>
      </c>
      <c r="B203" t="s">
        <v>12</v>
      </c>
      <c r="C203" t="s">
        <v>9</v>
      </c>
      <c r="D203">
        <v>11</v>
      </c>
      <c r="E203">
        <v>20000</v>
      </c>
      <c r="F203" t="str">
        <f t="shared" si="12"/>
        <v>D 20000</v>
      </c>
      <c r="G203">
        <v>220000</v>
      </c>
      <c r="H203" t="s">
        <v>20</v>
      </c>
      <c r="I203" t="str">
        <f t="shared" si="13"/>
        <v>Dimsum Udang = 20000</v>
      </c>
      <c r="J203">
        <f t="shared" si="14"/>
        <v>12</v>
      </c>
      <c r="K203" t="str">
        <f t="shared" si="15"/>
        <v>Dimsum Udang</v>
      </c>
    </row>
    <row r="204" spans="1:11" x14ac:dyDescent="0.25">
      <c r="A204" s="1" t="s">
        <v>37</v>
      </c>
      <c r="B204" t="s">
        <v>12</v>
      </c>
      <c r="C204" t="s">
        <v>9</v>
      </c>
      <c r="D204">
        <v>8</v>
      </c>
      <c r="E204">
        <v>18000</v>
      </c>
      <c r="F204" t="str">
        <f t="shared" si="12"/>
        <v>D 44000</v>
      </c>
      <c r="G204">
        <v>144000</v>
      </c>
      <c r="H204" t="s">
        <v>20</v>
      </c>
      <c r="I204" t="str">
        <f t="shared" si="13"/>
        <v>Dimsum Udang = 18000</v>
      </c>
      <c r="J204">
        <f t="shared" si="14"/>
        <v>12</v>
      </c>
      <c r="K204" t="str">
        <f t="shared" si="15"/>
        <v>Dimsum Udang</v>
      </c>
    </row>
    <row r="205" spans="1:11" x14ac:dyDescent="0.25">
      <c r="A205" s="1" t="s">
        <v>73</v>
      </c>
      <c r="B205" t="s">
        <v>26</v>
      </c>
      <c r="C205" t="s">
        <v>9</v>
      </c>
      <c r="D205">
        <v>9</v>
      </c>
      <c r="E205">
        <v>15000</v>
      </c>
      <c r="F205" t="str">
        <f t="shared" si="12"/>
        <v>D 35000</v>
      </c>
      <c r="G205">
        <v>135000</v>
      </c>
      <c r="H205" t="s">
        <v>10</v>
      </c>
      <c r="I205" t="str">
        <f t="shared" si="13"/>
        <v>Dimsum Kepiting = 15000</v>
      </c>
      <c r="J205">
        <f t="shared" si="14"/>
        <v>15</v>
      </c>
      <c r="K205" t="str">
        <f t="shared" si="15"/>
        <v>Dimsum Kepiting</v>
      </c>
    </row>
    <row r="206" spans="1:11" x14ac:dyDescent="0.25">
      <c r="A206" s="1" t="s">
        <v>60</v>
      </c>
      <c r="B206" t="s">
        <v>16</v>
      </c>
      <c r="C206" t="s">
        <v>9</v>
      </c>
      <c r="D206">
        <v>20</v>
      </c>
      <c r="E206">
        <v>18000</v>
      </c>
      <c r="F206" t="str">
        <f t="shared" si="12"/>
        <v>D 60000</v>
      </c>
      <c r="G206">
        <v>360000</v>
      </c>
      <c r="H206" t="s">
        <v>18</v>
      </c>
      <c r="I206" t="str">
        <f t="shared" si="13"/>
        <v>Dimsum Ayam Jamur = 18000</v>
      </c>
      <c r="J206">
        <f t="shared" si="14"/>
        <v>17</v>
      </c>
      <c r="K206" t="str">
        <f t="shared" si="15"/>
        <v>Dimsum Ayam Jamur</v>
      </c>
    </row>
    <row r="207" spans="1:11" x14ac:dyDescent="0.25">
      <c r="A207" s="1" t="s">
        <v>83</v>
      </c>
      <c r="B207" t="s">
        <v>8</v>
      </c>
      <c r="C207" t="s">
        <v>9</v>
      </c>
      <c r="D207">
        <v>4</v>
      </c>
      <c r="E207">
        <v>18000</v>
      </c>
      <c r="F207" t="str">
        <f t="shared" si="12"/>
        <v>D 2000</v>
      </c>
      <c r="G207">
        <v>72000</v>
      </c>
      <c r="H207" t="s">
        <v>10</v>
      </c>
      <c r="I207" t="str">
        <f t="shared" si="13"/>
        <v>Dimsum Ayam = 18000</v>
      </c>
      <c r="J207">
        <f t="shared" si="14"/>
        <v>11</v>
      </c>
      <c r="K207" t="str">
        <f t="shared" si="15"/>
        <v>Dimsum Ayam</v>
      </c>
    </row>
    <row r="208" spans="1:11" x14ac:dyDescent="0.25">
      <c r="A208" s="1" t="s">
        <v>75</v>
      </c>
      <c r="B208" t="s">
        <v>26</v>
      </c>
      <c r="C208" t="s">
        <v>9</v>
      </c>
      <c r="D208">
        <v>11</v>
      </c>
      <c r="E208">
        <v>18000</v>
      </c>
      <c r="F208" t="str">
        <f t="shared" si="12"/>
        <v>D 98000</v>
      </c>
      <c r="G208">
        <v>198000</v>
      </c>
      <c r="H208" t="s">
        <v>18</v>
      </c>
      <c r="I208" t="str">
        <f t="shared" si="13"/>
        <v>Dimsum Kepiting = 18000</v>
      </c>
      <c r="J208">
        <f t="shared" si="14"/>
        <v>15</v>
      </c>
      <c r="K208" t="str">
        <f t="shared" si="15"/>
        <v>Dimsum Kepiting</v>
      </c>
    </row>
    <row r="209" spans="1:11" x14ac:dyDescent="0.25">
      <c r="A209" s="1" t="s">
        <v>57</v>
      </c>
      <c r="B209" t="s">
        <v>8</v>
      </c>
      <c r="C209" t="s">
        <v>9</v>
      </c>
      <c r="D209">
        <v>15</v>
      </c>
      <c r="E209">
        <v>15000</v>
      </c>
      <c r="F209" t="str">
        <f t="shared" si="12"/>
        <v>D 25000</v>
      </c>
      <c r="G209">
        <v>225000</v>
      </c>
      <c r="H209" t="s">
        <v>18</v>
      </c>
      <c r="I209" t="str">
        <f t="shared" si="13"/>
        <v>Dimsum Ayam = 15000</v>
      </c>
      <c r="J209">
        <f t="shared" si="14"/>
        <v>11</v>
      </c>
      <c r="K209" t="str">
        <f t="shared" si="15"/>
        <v>Dimsum Ayam</v>
      </c>
    </row>
    <row r="210" spans="1:11" x14ac:dyDescent="0.25">
      <c r="A210" s="1" t="s">
        <v>85</v>
      </c>
      <c r="B210" t="s">
        <v>12</v>
      </c>
      <c r="C210" t="s">
        <v>9</v>
      </c>
      <c r="D210">
        <v>14</v>
      </c>
      <c r="E210">
        <v>15000</v>
      </c>
      <c r="F210" t="str">
        <f t="shared" si="12"/>
        <v>D 10000</v>
      </c>
      <c r="G210">
        <v>210000</v>
      </c>
      <c r="H210" t="s">
        <v>20</v>
      </c>
      <c r="I210" t="str">
        <f t="shared" si="13"/>
        <v>Dimsum Udang = 15000</v>
      </c>
      <c r="J210">
        <f t="shared" si="14"/>
        <v>12</v>
      </c>
      <c r="K210" t="str">
        <f t="shared" si="15"/>
        <v>Dimsum Udang</v>
      </c>
    </row>
    <row r="211" spans="1:11" x14ac:dyDescent="0.25">
      <c r="A211" s="1" t="s">
        <v>45</v>
      </c>
      <c r="B211" t="s">
        <v>12</v>
      </c>
      <c r="C211" t="s">
        <v>9</v>
      </c>
      <c r="D211">
        <v>5</v>
      </c>
      <c r="E211">
        <v>18000</v>
      </c>
      <c r="F211" t="str">
        <f t="shared" si="12"/>
        <v>D 0000</v>
      </c>
      <c r="G211">
        <v>90000</v>
      </c>
      <c r="H211" t="s">
        <v>18</v>
      </c>
      <c r="I211" t="str">
        <f t="shared" si="13"/>
        <v>Dimsum Udang = 18000</v>
      </c>
      <c r="J211">
        <f t="shared" si="14"/>
        <v>12</v>
      </c>
      <c r="K211" t="str">
        <f t="shared" si="15"/>
        <v>Dimsum Udang</v>
      </c>
    </row>
    <row r="212" spans="1:11" x14ac:dyDescent="0.25">
      <c r="A212" s="1" t="s">
        <v>66</v>
      </c>
      <c r="B212" t="s">
        <v>12</v>
      </c>
      <c r="C212" t="s">
        <v>9</v>
      </c>
      <c r="D212">
        <v>16</v>
      </c>
      <c r="E212">
        <v>15000</v>
      </c>
      <c r="F212" t="str">
        <f t="shared" si="12"/>
        <v>D 40000</v>
      </c>
      <c r="G212">
        <v>240000</v>
      </c>
      <c r="H212" t="s">
        <v>20</v>
      </c>
      <c r="I212" t="str">
        <f t="shared" si="13"/>
        <v>Dimsum Udang = 15000</v>
      </c>
      <c r="J212">
        <f t="shared" si="14"/>
        <v>12</v>
      </c>
      <c r="K212" t="str">
        <f t="shared" si="15"/>
        <v>Dimsum Udang</v>
      </c>
    </row>
    <row r="213" spans="1:11" x14ac:dyDescent="0.25">
      <c r="A213" s="1" t="s">
        <v>60</v>
      </c>
      <c r="B213" t="s">
        <v>26</v>
      </c>
      <c r="C213" t="s">
        <v>9</v>
      </c>
      <c r="D213">
        <v>6</v>
      </c>
      <c r="E213">
        <v>12000</v>
      </c>
      <c r="F213" t="str">
        <f t="shared" si="12"/>
        <v>D 2000</v>
      </c>
      <c r="G213">
        <v>72000</v>
      </c>
      <c r="H213" t="s">
        <v>10</v>
      </c>
      <c r="I213" t="str">
        <f t="shared" si="13"/>
        <v>Dimsum Kepiting = 12000</v>
      </c>
      <c r="J213">
        <f t="shared" si="14"/>
        <v>15</v>
      </c>
      <c r="K213" t="str">
        <f t="shared" si="15"/>
        <v>Dimsum Kepiting</v>
      </c>
    </row>
    <row r="214" spans="1:11" x14ac:dyDescent="0.25">
      <c r="A214" s="1" t="s">
        <v>17</v>
      </c>
      <c r="B214" t="s">
        <v>16</v>
      </c>
      <c r="C214" t="s">
        <v>9</v>
      </c>
      <c r="D214">
        <v>16</v>
      </c>
      <c r="E214">
        <v>12000</v>
      </c>
      <c r="F214" t="str">
        <f t="shared" si="12"/>
        <v>D 92000</v>
      </c>
      <c r="G214">
        <v>192000</v>
      </c>
      <c r="H214" t="s">
        <v>20</v>
      </c>
      <c r="I214" t="str">
        <f t="shared" si="13"/>
        <v>Dimsum Ayam Jamur = 12000</v>
      </c>
      <c r="J214">
        <f t="shared" si="14"/>
        <v>17</v>
      </c>
      <c r="K214" t="str">
        <f t="shared" si="15"/>
        <v>Dimsum Ayam Jamur</v>
      </c>
    </row>
    <row r="215" spans="1:11" x14ac:dyDescent="0.25">
      <c r="A215" s="1" t="s">
        <v>55</v>
      </c>
      <c r="B215" t="s">
        <v>22</v>
      </c>
      <c r="C215" t="s">
        <v>9</v>
      </c>
      <c r="D215">
        <v>11</v>
      </c>
      <c r="E215">
        <v>12000</v>
      </c>
      <c r="F215" t="str">
        <f t="shared" si="12"/>
        <v>D 32000</v>
      </c>
      <c r="G215">
        <v>132000</v>
      </c>
      <c r="H215" t="s">
        <v>13</v>
      </c>
      <c r="I215" t="str">
        <f t="shared" si="13"/>
        <v>Dimsum Nori = 12000</v>
      </c>
      <c r="J215">
        <f t="shared" si="14"/>
        <v>11</v>
      </c>
      <c r="K215" t="str">
        <f t="shared" si="15"/>
        <v>Dimsum Nori</v>
      </c>
    </row>
    <row r="216" spans="1:11" x14ac:dyDescent="0.25">
      <c r="A216" s="1" t="s">
        <v>75</v>
      </c>
      <c r="B216" t="s">
        <v>8</v>
      </c>
      <c r="C216" t="s">
        <v>9</v>
      </c>
      <c r="D216">
        <v>14</v>
      </c>
      <c r="E216">
        <v>20000</v>
      </c>
      <c r="F216" t="str">
        <f t="shared" si="12"/>
        <v>D 80000</v>
      </c>
      <c r="G216">
        <v>280000</v>
      </c>
      <c r="H216" t="s">
        <v>20</v>
      </c>
      <c r="I216" t="str">
        <f t="shared" si="13"/>
        <v>Dimsum Ayam = 20000</v>
      </c>
      <c r="J216">
        <f t="shared" si="14"/>
        <v>11</v>
      </c>
      <c r="K216" t="str">
        <f t="shared" si="15"/>
        <v>Dimsum Ayam</v>
      </c>
    </row>
    <row r="217" spans="1:11" x14ac:dyDescent="0.25">
      <c r="A217" s="1" t="s">
        <v>99</v>
      </c>
      <c r="B217" t="s">
        <v>16</v>
      </c>
      <c r="C217" t="s">
        <v>9</v>
      </c>
      <c r="D217">
        <v>11</v>
      </c>
      <c r="E217">
        <v>18000</v>
      </c>
      <c r="F217" t="str">
        <f t="shared" si="12"/>
        <v>D 98000</v>
      </c>
      <c r="G217">
        <v>198000</v>
      </c>
      <c r="H217" t="s">
        <v>10</v>
      </c>
      <c r="I217" t="str">
        <f t="shared" si="13"/>
        <v>Dimsum Ayam Jamur = 18000</v>
      </c>
      <c r="J217">
        <f t="shared" si="14"/>
        <v>17</v>
      </c>
      <c r="K217" t="str">
        <f t="shared" si="15"/>
        <v>Dimsum Ayam Jamur</v>
      </c>
    </row>
    <row r="218" spans="1:11" x14ac:dyDescent="0.25">
      <c r="A218" s="1" t="s">
        <v>53</v>
      </c>
      <c r="B218" t="s">
        <v>26</v>
      </c>
      <c r="C218" t="s">
        <v>9</v>
      </c>
      <c r="D218">
        <v>20</v>
      </c>
      <c r="E218">
        <v>20000</v>
      </c>
      <c r="F218" t="str">
        <f t="shared" si="12"/>
        <v>D 00000</v>
      </c>
      <c r="G218">
        <v>400000</v>
      </c>
      <c r="H218" t="s">
        <v>10</v>
      </c>
      <c r="I218" t="str">
        <f t="shared" si="13"/>
        <v>Dimsum Kepiting = 20000</v>
      </c>
      <c r="J218">
        <f t="shared" si="14"/>
        <v>15</v>
      </c>
      <c r="K218" t="str">
        <f t="shared" si="15"/>
        <v>Dimsum Kepiting</v>
      </c>
    </row>
    <row r="219" spans="1:11" x14ac:dyDescent="0.25">
      <c r="A219" s="1" t="s">
        <v>69</v>
      </c>
      <c r="B219" t="s">
        <v>8</v>
      </c>
      <c r="C219" t="s">
        <v>9</v>
      </c>
      <c r="D219">
        <v>11</v>
      </c>
      <c r="E219">
        <v>12000</v>
      </c>
      <c r="F219" t="str">
        <f t="shared" si="12"/>
        <v>D 32000</v>
      </c>
      <c r="G219">
        <v>132000</v>
      </c>
      <c r="H219" t="s">
        <v>10</v>
      </c>
      <c r="I219" t="str">
        <f t="shared" si="13"/>
        <v>Dimsum Ayam = 12000</v>
      </c>
      <c r="J219">
        <f t="shared" si="14"/>
        <v>11</v>
      </c>
      <c r="K219" t="str">
        <f t="shared" si="15"/>
        <v>Dimsum Ayam</v>
      </c>
    </row>
    <row r="220" spans="1:11" x14ac:dyDescent="0.25">
      <c r="A220" s="1" t="s">
        <v>77</v>
      </c>
      <c r="B220" t="s">
        <v>22</v>
      </c>
      <c r="C220" t="s">
        <v>9</v>
      </c>
      <c r="D220">
        <v>6</v>
      </c>
      <c r="E220">
        <v>18000</v>
      </c>
      <c r="F220" t="str">
        <f t="shared" si="12"/>
        <v>D 08000</v>
      </c>
      <c r="G220">
        <v>108000</v>
      </c>
      <c r="H220" t="s">
        <v>13</v>
      </c>
      <c r="I220" t="str">
        <f t="shared" si="13"/>
        <v>Dimsum Nori = 18000</v>
      </c>
      <c r="J220">
        <f t="shared" si="14"/>
        <v>11</v>
      </c>
      <c r="K220" t="str">
        <f t="shared" si="15"/>
        <v>Dimsum Nori</v>
      </c>
    </row>
    <row r="221" spans="1:11" x14ac:dyDescent="0.25">
      <c r="A221" s="1" t="s">
        <v>71</v>
      </c>
      <c r="B221" t="s">
        <v>16</v>
      </c>
      <c r="C221" t="s">
        <v>9</v>
      </c>
      <c r="D221">
        <v>15</v>
      </c>
      <c r="E221">
        <v>15000</v>
      </c>
      <c r="F221" t="str">
        <f t="shared" si="12"/>
        <v>D 25000</v>
      </c>
      <c r="G221">
        <v>225000</v>
      </c>
      <c r="H221" t="s">
        <v>10</v>
      </c>
      <c r="I221" t="str">
        <f t="shared" si="13"/>
        <v>Dimsum Ayam Jamur = 15000</v>
      </c>
      <c r="J221">
        <f t="shared" si="14"/>
        <v>17</v>
      </c>
      <c r="K221" t="str">
        <f t="shared" si="15"/>
        <v>Dimsum Ayam Jamur</v>
      </c>
    </row>
    <row r="222" spans="1:11" x14ac:dyDescent="0.25">
      <c r="A222" s="1" t="s">
        <v>78</v>
      </c>
      <c r="B222" t="s">
        <v>8</v>
      </c>
      <c r="C222" t="s">
        <v>9</v>
      </c>
      <c r="D222">
        <v>12</v>
      </c>
      <c r="E222">
        <v>20000</v>
      </c>
      <c r="F222" t="str">
        <f t="shared" si="12"/>
        <v>D 40000</v>
      </c>
      <c r="G222">
        <v>240000</v>
      </c>
      <c r="H222" t="s">
        <v>10</v>
      </c>
      <c r="I222" t="str">
        <f t="shared" si="13"/>
        <v>Dimsum Ayam = 20000</v>
      </c>
      <c r="J222">
        <f t="shared" si="14"/>
        <v>11</v>
      </c>
      <c r="K222" t="str">
        <f t="shared" si="15"/>
        <v>Dimsum Ayam</v>
      </c>
    </row>
    <row r="223" spans="1:11" x14ac:dyDescent="0.25">
      <c r="A223" s="1" t="s">
        <v>27</v>
      </c>
      <c r="B223" t="s">
        <v>26</v>
      </c>
      <c r="C223" t="s">
        <v>9</v>
      </c>
      <c r="D223">
        <v>17</v>
      </c>
      <c r="E223">
        <v>15000</v>
      </c>
      <c r="F223" t="str">
        <f t="shared" si="12"/>
        <v>D 55000</v>
      </c>
      <c r="G223">
        <v>255000</v>
      </c>
      <c r="H223" t="s">
        <v>13</v>
      </c>
      <c r="I223" t="str">
        <f t="shared" si="13"/>
        <v>Dimsum Kepiting = 15000</v>
      </c>
      <c r="J223">
        <f t="shared" si="14"/>
        <v>15</v>
      </c>
      <c r="K223" t="str">
        <f t="shared" si="15"/>
        <v>Dimsum Kepiting</v>
      </c>
    </row>
    <row r="224" spans="1:11" x14ac:dyDescent="0.25">
      <c r="A224" s="1" t="s">
        <v>100</v>
      </c>
      <c r="B224" t="s">
        <v>16</v>
      </c>
      <c r="C224" t="s">
        <v>9</v>
      </c>
      <c r="D224">
        <v>8</v>
      </c>
      <c r="E224">
        <v>20000</v>
      </c>
      <c r="F224" t="str">
        <f t="shared" si="12"/>
        <v>D 60000</v>
      </c>
      <c r="G224">
        <v>160000</v>
      </c>
      <c r="H224" t="s">
        <v>18</v>
      </c>
      <c r="I224" t="str">
        <f t="shared" si="13"/>
        <v>Dimsum Ayam Jamur = 20000</v>
      </c>
      <c r="J224">
        <f t="shared" si="14"/>
        <v>17</v>
      </c>
      <c r="K224" t="str">
        <f t="shared" si="15"/>
        <v>Dimsum Ayam Jamur</v>
      </c>
    </row>
    <row r="225" spans="1:11" x14ac:dyDescent="0.25">
      <c r="A225" s="1" t="s">
        <v>49</v>
      </c>
      <c r="B225" t="s">
        <v>22</v>
      </c>
      <c r="C225" t="s">
        <v>9</v>
      </c>
      <c r="D225">
        <v>13</v>
      </c>
      <c r="E225">
        <v>18000</v>
      </c>
      <c r="F225" t="str">
        <f t="shared" si="12"/>
        <v>D 34000</v>
      </c>
      <c r="G225">
        <v>234000</v>
      </c>
      <c r="H225" t="s">
        <v>10</v>
      </c>
      <c r="I225" t="str">
        <f t="shared" si="13"/>
        <v>Dimsum Nori = 18000</v>
      </c>
      <c r="J225">
        <f t="shared" si="14"/>
        <v>11</v>
      </c>
      <c r="K225" t="str">
        <f t="shared" si="15"/>
        <v>Dimsum Nori</v>
      </c>
    </row>
    <row r="226" spans="1:11" x14ac:dyDescent="0.25">
      <c r="A226" s="1" t="s">
        <v>66</v>
      </c>
      <c r="B226" t="s">
        <v>8</v>
      </c>
      <c r="C226" t="s">
        <v>9</v>
      </c>
      <c r="D226">
        <v>8</v>
      </c>
      <c r="E226">
        <v>15000</v>
      </c>
      <c r="F226" t="str">
        <f t="shared" si="12"/>
        <v>D 20000</v>
      </c>
      <c r="G226">
        <v>120000</v>
      </c>
      <c r="H226" t="s">
        <v>10</v>
      </c>
      <c r="I226" t="str">
        <f t="shared" si="13"/>
        <v>Dimsum Ayam = 15000</v>
      </c>
      <c r="J226">
        <f t="shared" si="14"/>
        <v>11</v>
      </c>
      <c r="K226" t="str">
        <f t="shared" si="15"/>
        <v>Dimsum Ayam</v>
      </c>
    </row>
    <row r="227" spans="1:11" x14ac:dyDescent="0.25">
      <c r="A227" s="1" t="s">
        <v>33</v>
      </c>
      <c r="B227" t="s">
        <v>8</v>
      </c>
      <c r="C227" t="s">
        <v>9</v>
      </c>
      <c r="D227">
        <v>15</v>
      </c>
      <c r="E227">
        <v>12000</v>
      </c>
      <c r="F227" t="str">
        <f t="shared" si="12"/>
        <v>D 80000</v>
      </c>
      <c r="G227">
        <v>180000</v>
      </c>
      <c r="H227" t="s">
        <v>13</v>
      </c>
      <c r="I227" t="str">
        <f t="shared" si="13"/>
        <v>Dimsum Ayam = 12000</v>
      </c>
      <c r="J227">
        <f t="shared" si="14"/>
        <v>11</v>
      </c>
      <c r="K227" t="str">
        <f t="shared" si="15"/>
        <v>Dimsum Ayam</v>
      </c>
    </row>
    <row r="228" spans="1:11" x14ac:dyDescent="0.25">
      <c r="A228" s="1" t="s">
        <v>30</v>
      </c>
      <c r="B228" t="s">
        <v>22</v>
      </c>
      <c r="C228" t="s">
        <v>9</v>
      </c>
      <c r="D228">
        <v>1</v>
      </c>
      <c r="E228">
        <v>18000</v>
      </c>
      <c r="F228" t="str">
        <f t="shared" si="12"/>
        <v>D 8000</v>
      </c>
      <c r="G228">
        <v>18000</v>
      </c>
      <c r="H228" t="s">
        <v>20</v>
      </c>
      <c r="I228" t="str">
        <f t="shared" si="13"/>
        <v>Dimsum Nori = 18000</v>
      </c>
      <c r="J228">
        <f t="shared" si="14"/>
        <v>11</v>
      </c>
      <c r="K228" t="str">
        <f t="shared" si="15"/>
        <v>Dimsum Nori</v>
      </c>
    </row>
    <row r="229" spans="1:11" x14ac:dyDescent="0.25">
      <c r="A229" s="1" t="s">
        <v>79</v>
      </c>
      <c r="B229" t="s">
        <v>26</v>
      </c>
      <c r="C229" t="s">
        <v>9</v>
      </c>
      <c r="D229">
        <v>1</v>
      </c>
      <c r="E229">
        <v>15000</v>
      </c>
      <c r="F229" t="str">
        <f t="shared" si="12"/>
        <v>D 5000</v>
      </c>
      <c r="G229">
        <v>15000</v>
      </c>
      <c r="H229" t="s">
        <v>18</v>
      </c>
      <c r="I229" t="str">
        <f t="shared" si="13"/>
        <v>Dimsum Kepiting = 15000</v>
      </c>
      <c r="J229">
        <f t="shared" si="14"/>
        <v>15</v>
      </c>
      <c r="K229" t="str">
        <f t="shared" si="15"/>
        <v>Dimsum Kepiting</v>
      </c>
    </row>
    <row r="230" spans="1:11" x14ac:dyDescent="0.25">
      <c r="A230" s="1" t="s">
        <v>37</v>
      </c>
      <c r="B230" t="s">
        <v>16</v>
      </c>
      <c r="C230" t="s">
        <v>9</v>
      </c>
      <c r="D230">
        <v>2</v>
      </c>
      <c r="E230">
        <v>18000</v>
      </c>
      <c r="F230" t="str">
        <f t="shared" si="12"/>
        <v>D 6000</v>
      </c>
      <c r="G230">
        <v>36000</v>
      </c>
      <c r="H230" t="s">
        <v>18</v>
      </c>
      <c r="I230" t="str">
        <f t="shared" si="13"/>
        <v>Dimsum Ayam Jamur = 18000</v>
      </c>
      <c r="J230">
        <f t="shared" si="14"/>
        <v>17</v>
      </c>
      <c r="K230" t="str">
        <f t="shared" si="15"/>
        <v>Dimsum Ayam Jamur</v>
      </c>
    </row>
    <row r="231" spans="1:11" x14ac:dyDescent="0.25">
      <c r="A231" s="1" t="s">
        <v>24</v>
      </c>
      <c r="B231" t="s">
        <v>16</v>
      </c>
      <c r="C231" t="s">
        <v>9</v>
      </c>
      <c r="D231">
        <v>12</v>
      </c>
      <c r="E231">
        <v>12000</v>
      </c>
      <c r="F231" t="str">
        <f t="shared" si="12"/>
        <v>D 44000</v>
      </c>
      <c r="G231">
        <v>144000</v>
      </c>
      <c r="H231" t="s">
        <v>10</v>
      </c>
      <c r="I231" t="str">
        <f t="shared" si="13"/>
        <v>Dimsum Ayam Jamur = 12000</v>
      </c>
      <c r="J231">
        <f t="shared" si="14"/>
        <v>17</v>
      </c>
      <c r="K231" t="str">
        <f t="shared" si="15"/>
        <v>Dimsum Ayam Jamur</v>
      </c>
    </row>
    <row r="232" spans="1:11" x14ac:dyDescent="0.25">
      <c r="A232" s="1" t="s">
        <v>99</v>
      </c>
      <c r="B232" t="s">
        <v>8</v>
      </c>
      <c r="C232" t="s">
        <v>9</v>
      </c>
      <c r="D232">
        <v>15</v>
      </c>
      <c r="E232">
        <v>12000</v>
      </c>
      <c r="F232" t="str">
        <f t="shared" si="12"/>
        <v>D 80000</v>
      </c>
      <c r="G232">
        <v>180000</v>
      </c>
      <c r="H232" t="s">
        <v>18</v>
      </c>
      <c r="I232" t="str">
        <f t="shared" si="13"/>
        <v>Dimsum Ayam = 12000</v>
      </c>
      <c r="J232">
        <f t="shared" si="14"/>
        <v>11</v>
      </c>
      <c r="K232" t="str">
        <f t="shared" si="15"/>
        <v>Dimsum Ayam</v>
      </c>
    </row>
    <row r="233" spans="1:11" x14ac:dyDescent="0.25">
      <c r="A233" s="1" t="s">
        <v>46</v>
      </c>
      <c r="B233" t="s">
        <v>8</v>
      </c>
      <c r="C233" t="s">
        <v>9</v>
      </c>
      <c r="D233">
        <v>6</v>
      </c>
      <c r="E233">
        <v>15000</v>
      </c>
      <c r="F233" t="str">
        <f t="shared" si="12"/>
        <v>D 0000</v>
      </c>
      <c r="G233">
        <v>90000</v>
      </c>
      <c r="H233" t="s">
        <v>10</v>
      </c>
      <c r="I233" t="str">
        <f t="shared" si="13"/>
        <v>Dimsum Ayam = 15000</v>
      </c>
      <c r="J233">
        <f t="shared" si="14"/>
        <v>11</v>
      </c>
      <c r="K233" t="str">
        <f t="shared" si="15"/>
        <v>Dimsum Ayam</v>
      </c>
    </row>
    <row r="234" spans="1:11" x14ac:dyDescent="0.25">
      <c r="A234" s="1" t="s">
        <v>84</v>
      </c>
      <c r="B234" t="s">
        <v>16</v>
      </c>
      <c r="C234" t="s">
        <v>9</v>
      </c>
      <c r="D234">
        <v>18</v>
      </c>
      <c r="E234">
        <v>18000</v>
      </c>
      <c r="F234" t="str">
        <f t="shared" si="12"/>
        <v>D 24000</v>
      </c>
      <c r="G234">
        <v>324000</v>
      </c>
      <c r="H234" t="s">
        <v>20</v>
      </c>
      <c r="I234" t="str">
        <f t="shared" si="13"/>
        <v>Dimsum Ayam Jamur = 18000</v>
      </c>
      <c r="J234">
        <f t="shared" si="14"/>
        <v>17</v>
      </c>
      <c r="K234" t="str">
        <f t="shared" si="15"/>
        <v>Dimsum Ayam Jamur</v>
      </c>
    </row>
    <row r="235" spans="1:11" x14ac:dyDescent="0.25">
      <c r="A235" s="1" t="s">
        <v>101</v>
      </c>
      <c r="B235" t="s">
        <v>12</v>
      </c>
      <c r="C235" t="s">
        <v>9</v>
      </c>
      <c r="D235">
        <v>4</v>
      </c>
      <c r="E235">
        <v>18000</v>
      </c>
      <c r="F235" t="str">
        <f t="shared" si="12"/>
        <v>D 2000</v>
      </c>
      <c r="G235">
        <v>72000</v>
      </c>
      <c r="H235" t="s">
        <v>10</v>
      </c>
      <c r="I235" t="str">
        <f t="shared" si="13"/>
        <v>Dimsum Udang = 18000</v>
      </c>
      <c r="J235">
        <f t="shared" si="14"/>
        <v>12</v>
      </c>
      <c r="K235" t="str">
        <f t="shared" si="15"/>
        <v>Dimsum Udang</v>
      </c>
    </row>
    <row r="236" spans="1:11" x14ac:dyDescent="0.25">
      <c r="A236" s="1" t="s">
        <v>77</v>
      </c>
      <c r="B236" t="s">
        <v>22</v>
      </c>
      <c r="C236" t="s">
        <v>9</v>
      </c>
      <c r="D236">
        <v>6</v>
      </c>
      <c r="E236">
        <v>18000</v>
      </c>
      <c r="F236" t="str">
        <f t="shared" si="12"/>
        <v>D 08000</v>
      </c>
      <c r="G236">
        <v>108000</v>
      </c>
      <c r="H236" t="s">
        <v>13</v>
      </c>
      <c r="I236" t="str">
        <f t="shared" si="13"/>
        <v>Dimsum Nori = 18000</v>
      </c>
      <c r="J236">
        <f t="shared" si="14"/>
        <v>11</v>
      </c>
      <c r="K236" t="str">
        <f t="shared" si="15"/>
        <v>Dimsum Nori</v>
      </c>
    </row>
    <row r="237" spans="1:11" x14ac:dyDescent="0.25">
      <c r="A237" s="1" t="s">
        <v>102</v>
      </c>
      <c r="B237" t="s">
        <v>26</v>
      </c>
      <c r="C237" t="s">
        <v>9</v>
      </c>
      <c r="D237">
        <v>1</v>
      </c>
      <c r="E237">
        <v>15000</v>
      </c>
      <c r="F237" t="str">
        <f t="shared" si="12"/>
        <v>D 5000</v>
      </c>
      <c r="G237">
        <v>15000</v>
      </c>
      <c r="H237" t="s">
        <v>13</v>
      </c>
      <c r="I237" t="str">
        <f t="shared" si="13"/>
        <v>Dimsum Kepiting = 15000</v>
      </c>
      <c r="J237">
        <f t="shared" si="14"/>
        <v>15</v>
      </c>
      <c r="K237" t="str">
        <f t="shared" si="15"/>
        <v>Dimsum Kepiting</v>
      </c>
    </row>
    <row r="238" spans="1:11" x14ac:dyDescent="0.25">
      <c r="A238" s="1" t="s">
        <v>69</v>
      </c>
      <c r="B238" t="s">
        <v>8</v>
      </c>
      <c r="C238" t="s">
        <v>9</v>
      </c>
      <c r="D238">
        <v>6</v>
      </c>
      <c r="E238">
        <v>20000</v>
      </c>
      <c r="F238" t="str">
        <f t="shared" si="12"/>
        <v>D 20000</v>
      </c>
      <c r="G238">
        <v>120000</v>
      </c>
      <c r="H238" t="s">
        <v>20</v>
      </c>
      <c r="I238" t="str">
        <f t="shared" si="13"/>
        <v>Dimsum Ayam = 20000</v>
      </c>
      <c r="J238">
        <f t="shared" si="14"/>
        <v>11</v>
      </c>
      <c r="K238" t="str">
        <f t="shared" si="15"/>
        <v>Dimsum Ayam</v>
      </c>
    </row>
    <row r="239" spans="1:11" x14ac:dyDescent="0.25">
      <c r="A239" s="1" t="s">
        <v>17</v>
      </c>
      <c r="B239" t="s">
        <v>26</v>
      </c>
      <c r="C239" t="s">
        <v>9</v>
      </c>
      <c r="D239">
        <v>17</v>
      </c>
      <c r="E239">
        <v>18000</v>
      </c>
      <c r="F239" t="str">
        <f t="shared" si="12"/>
        <v>D 06000</v>
      </c>
      <c r="G239">
        <v>306000</v>
      </c>
      <c r="H239" t="s">
        <v>10</v>
      </c>
      <c r="I239" t="str">
        <f t="shared" si="13"/>
        <v>Dimsum Kepiting = 18000</v>
      </c>
      <c r="J239">
        <f t="shared" si="14"/>
        <v>15</v>
      </c>
      <c r="K239" t="str">
        <f t="shared" si="15"/>
        <v>Dimsum Kepiting</v>
      </c>
    </row>
    <row r="240" spans="1:11" x14ac:dyDescent="0.25">
      <c r="A240" s="1" t="s">
        <v>52</v>
      </c>
      <c r="B240" t="s">
        <v>26</v>
      </c>
      <c r="C240" t="s">
        <v>9</v>
      </c>
      <c r="D240">
        <v>11</v>
      </c>
      <c r="E240">
        <v>12000</v>
      </c>
      <c r="F240" t="str">
        <f t="shared" si="12"/>
        <v>D 32000</v>
      </c>
      <c r="G240">
        <v>132000</v>
      </c>
      <c r="H240" t="s">
        <v>20</v>
      </c>
      <c r="I240" t="str">
        <f t="shared" si="13"/>
        <v>Dimsum Kepiting = 12000</v>
      </c>
      <c r="J240">
        <f t="shared" si="14"/>
        <v>15</v>
      </c>
      <c r="K240" t="str">
        <f t="shared" si="15"/>
        <v>Dimsum Kepiting</v>
      </c>
    </row>
    <row r="241" spans="1:11" x14ac:dyDescent="0.25">
      <c r="A241" s="1" t="s">
        <v>48</v>
      </c>
      <c r="B241" t="s">
        <v>16</v>
      </c>
      <c r="C241" t="s">
        <v>9</v>
      </c>
      <c r="D241">
        <v>19</v>
      </c>
      <c r="E241">
        <v>20000</v>
      </c>
      <c r="F241" t="str">
        <f t="shared" si="12"/>
        <v>D 80000</v>
      </c>
      <c r="G241">
        <v>380000</v>
      </c>
      <c r="H241" t="s">
        <v>20</v>
      </c>
      <c r="I241" t="str">
        <f t="shared" si="13"/>
        <v>Dimsum Ayam Jamur = 20000</v>
      </c>
      <c r="J241">
        <f t="shared" si="14"/>
        <v>17</v>
      </c>
      <c r="K241" t="str">
        <f t="shared" si="15"/>
        <v>Dimsum Ayam Jamur</v>
      </c>
    </row>
    <row r="242" spans="1:11" x14ac:dyDescent="0.25">
      <c r="A242" s="1" t="s">
        <v>34</v>
      </c>
      <c r="B242" t="s">
        <v>12</v>
      </c>
      <c r="C242" t="s">
        <v>9</v>
      </c>
      <c r="D242">
        <v>1</v>
      </c>
      <c r="E242">
        <v>20000</v>
      </c>
      <c r="F242" t="str">
        <f t="shared" si="12"/>
        <v>D 0000</v>
      </c>
      <c r="G242">
        <v>20000</v>
      </c>
      <c r="H242" t="s">
        <v>18</v>
      </c>
      <c r="I242" t="str">
        <f t="shared" si="13"/>
        <v>Dimsum Udang = 20000</v>
      </c>
      <c r="J242">
        <f t="shared" si="14"/>
        <v>12</v>
      </c>
      <c r="K242" t="str">
        <f t="shared" si="15"/>
        <v>Dimsum Udang</v>
      </c>
    </row>
    <row r="243" spans="1:11" x14ac:dyDescent="0.25">
      <c r="A243" s="1" t="s">
        <v>103</v>
      </c>
      <c r="B243" t="s">
        <v>16</v>
      </c>
      <c r="C243" t="s">
        <v>9</v>
      </c>
      <c r="D243">
        <v>20</v>
      </c>
      <c r="E243">
        <v>18000</v>
      </c>
      <c r="F243" t="str">
        <f t="shared" si="12"/>
        <v>D 60000</v>
      </c>
      <c r="G243">
        <v>360000</v>
      </c>
      <c r="H243" t="s">
        <v>18</v>
      </c>
      <c r="I243" t="str">
        <f t="shared" si="13"/>
        <v>Dimsum Ayam Jamur = 18000</v>
      </c>
      <c r="J243">
        <f t="shared" si="14"/>
        <v>17</v>
      </c>
      <c r="K243" t="str">
        <f t="shared" si="15"/>
        <v>Dimsum Ayam Jamur</v>
      </c>
    </row>
    <row r="244" spans="1:11" x14ac:dyDescent="0.25">
      <c r="A244" s="1" t="s">
        <v>90</v>
      </c>
      <c r="B244" t="s">
        <v>16</v>
      </c>
      <c r="C244" t="s">
        <v>9</v>
      </c>
      <c r="D244">
        <v>13</v>
      </c>
      <c r="E244">
        <v>20000</v>
      </c>
      <c r="F244" t="str">
        <f t="shared" si="12"/>
        <v>D 60000</v>
      </c>
      <c r="G244">
        <v>260000</v>
      </c>
      <c r="H244" t="s">
        <v>18</v>
      </c>
      <c r="I244" t="str">
        <f t="shared" si="13"/>
        <v>Dimsum Ayam Jamur = 20000</v>
      </c>
      <c r="J244">
        <f t="shared" si="14"/>
        <v>17</v>
      </c>
      <c r="K244" t="str">
        <f t="shared" si="15"/>
        <v>Dimsum Ayam Jamur</v>
      </c>
    </row>
    <row r="245" spans="1:11" x14ac:dyDescent="0.25">
      <c r="A245" s="1" t="s">
        <v>81</v>
      </c>
      <c r="B245" t="s">
        <v>22</v>
      </c>
      <c r="C245" t="s">
        <v>9</v>
      </c>
      <c r="D245">
        <v>11</v>
      </c>
      <c r="E245">
        <v>20000</v>
      </c>
      <c r="F245" t="str">
        <f t="shared" si="12"/>
        <v>D 20000</v>
      </c>
      <c r="G245">
        <v>220000</v>
      </c>
      <c r="H245" t="s">
        <v>13</v>
      </c>
      <c r="I245" t="str">
        <f t="shared" si="13"/>
        <v>Dimsum Nori = 20000</v>
      </c>
      <c r="J245">
        <f t="shared" si="14"/>
        <v>11</v>
      </c>
      <c r="K245" t="str">
        <f t="shared" si="15"/>
        <v>Dimsum Nori</v>
      </c>
    </row>
    <row r="246" spans="1:11" x14ac:dyDescent="0.25">
      <c r="A246" s="1" t="s">
        <v>71</v>
      </c>
      <c r="B246" t="s">
        <v>12</v>
      </c>
      <c r="C246" t="s">
        <v>9</v>
      </c>
      <c r="D246">
        <v>12</v>
      </c>
      <c r="E246">
        <v>15000</v>
      </c>
      <c r="F246" t="str">
        <f t="shared" si="12"/>
        <v>D 80000</v>
      </c>
      <c r="G246">
        <v>180000</v>
      </c>
      <c r="H246" t="s">
        <v>18</v>
      </c>
      <c r="I246" t="str">
        <f t="shared" si="13"/>
        <v>Dimsum Udang = 15000</v>
      </c>
      <c r="J246">
        <f t="shared" si="14"/>
        <v>12</v>
      </c>
      <c r="K246" t="str">
        <f t="shared" si="15"/>
        <v>Dimsum Udang</v>
      </c>
    </row>
    <row r="247" spans="1:11" x14ac:dyDescent="0.25">
      <c r="A247" s="1" t="s">
        <v>104</v>
      </c>
      <c r="B247" t="s">
        <v>26</v>
      </c>
      <c r="C247" t="s">
        <v>9</v>
      </c>
      <c r="D247">
        <v>6</v>
      </c>
      <c r="E247">
        <v>18000</v>
      </c>
      <c r="F247" t="str">
        <f t="shared" si="12"/>
        <v>D 08000</v>
      </c>
      <c r="G247">
        <v>108000</v>
      </c>
      <c r="H247" t="s">
        <v>13</v>
      </c>
      <c r="I247" t="str">
        <f t="shared" si="13"/>
        <v>Dimsum Kepiting = 18000</v>
      </c>
      <c r="J247">
        <f t="shared" si="14"/>
        <v>15</v>
      </c>
      <c r="K247" t="str">
        <f t="shared" si="15"/>
        <v>Dimsum Kepiting</v>
      </c>
    </row>
    <row r="248" spans="1:11" x14ac:dyDescent="0.25">
      <c r="A248" s="1" t="s">
        <v>91</v>
      </c>
      <c r="B248" t="s">
        <v>16</v>
      </c>
      <c r="C248" t="s">
        <v>9</v>
      </c>
      <c r="D248">
        <v>9</v>
      </c>
      <c r="E248">
        <v>20000</v>
      </c>
      <c r="F248" t="str">
        <f t="shared" si="12"/>
        <v>D 80000</v>
      </c>
      <c r="G248">
        <v>180000</v>
      </c>
      <c r="H248" t="s">
        <v>18</v>
      </c>
      <c r="I248" t="str">
        <f t="shared" si="13"/>
        <v>Dimsum Ayam Jamur = 20000</v>
      </c>
      <c r="J248">
        <f t="shared" si="14"/>
        <v>17</v>
      </c>
      <c r="K248" t="str">
        <f t="shared" si="15"/>
        <v>Dimsum Ayam Jamur</v>
      </c>
    </row>
    <row r="249" spans="1:11" x14ac:dyDescent="0.25">
      <c r="A249" s="1" t="s">
        <v>19</v>
      </c>
      <c r="B249" t="s">
        <v>22</v>
      </c>
      <c r="C249" t="s">
        <v>9</v>
      </c>
      <c r="D249">
        <v>5</v>
      </c>
      <c r="E249">
        <v>12000</v>
      </c>
      <c r="F249" t="str">
        <f t="shared" si="12"/>
        <v>D 0000</v>
      </c>
      <c r="G249">
        <v>60000</v>
      </c>
      <c r="H249" t="s">
        <v>13</v>
      </c>
      <c r="I249" t="str">
        <f t="shared" si="13"/>
        <v>Dimsum Nori = 12000</v>
      </c>
      <c r="J249">
        <f t="shared" si="14"/>
        <v>11</v>
      </c>
      <c r="K249" t="str">
        <f t="shared" si="15"/>
        <v>Dimsum Nori</v>
      </c>
    </row>
    <row r="250" spans="1:11" x14ac:dyDescent="0.25">
      <c r="A250" s="1" t="s">
        <v>27</v>
      </c>
      <c r="B250" t="s">
        <v>8</v>
      </c>
      <c r="C250" t="s">
        <v>9</v>
      </c>
      <c r="D250">
        <v>5</v>
      </c>
      <c r="E250">
        <v>12000</v>
      </c>
      <c r="F250" t="str">
        <f t="shared" si="12"/>
        <v>D 0000</v>
      </c>
      <c r="G250">
        <v>60000</v>
      </c>
      <c r="H250" t="s">
        <v>20</v>
      </c>
      <c r="I250" t="str">
        <f t="shared" si="13"/>
        <v>Dimsum Ayam = 12000</v>
      </c>
      <c r="J250">
        <f t="shared" si="14"/>
        <v>11</v>
      </c>
      <c r="K250" t="str">
        <f t="shared" si="15"/>
        <v>Dimsum Ayam</v>
      </c>
    </row>
    <row r="251" spans="1:11" x14ac:dyDescent="0.25">
      <c r="A251" s="1" t="s">
        <v>72</v>
      </c>
      <c r="B251" t="s">
        <v>12</v>
      </c>
      <c r="C251" t="s">
        <v>9</v>
      </c>
      <c r="D251">
        <v>6</v>
      </c>
      <c r="E251">
        <v>20000</v>
      </c>
      <c r="F251" t="str">
        <f t="shared" si="12"/>
        <v>D 20000</v>
      </c>
      <c r="G251">
        <v>120000</v>
      </c>
      <c r="H251" t="s">
        <v>10</v>
      </c>
      <c r="I251" t="str">
        <f t="shared" si="13"/>
        <v>Dimsum Udang = 20000</v>
      </c>
      <c r="J251">
        <f t="shared" si="14"/>
        <v>12</v>
      </c>
      <c r="K251" t="str">
        <f t="shared" si="15"/>
        <v>Dimsum Udang</v>
      </c>
    </row>
    <row r="252" spans="1:11" x14ac:dyDescent="0.25">
      <c r="A252" s="1" t="s">
        <v>19</v>
      </c>
      <c r="B252" t="s">
        <v>26</v>
      </c>
      <c r="C252" t="s">
        <v>9</v>
      </c>
      <c r="D252">
        <v>18</v>
      </c>
      <c r="E252">
        <v>20000</v>
      </c>
      <c r="F252" t="str">
        <f t="shared" si="12"/>
        <v>D 60000</v>
      </c>
      <c r="G252">
        <v>360000</v>
      </c>
      <c r="H252" t="s">
        <v>20</v>
      </c>
      <c r="I252" t="str">
        <f t="shared" si="13"/>
        <v>Dimsum Kepiting = 20000</v>
      </c>
      <c r="J252">
        <f t="shared" si="14"/>
        <v>15</v>
      </c>
      <c r="K252" t="str">
        <f t="shared" si="15"/>
        <v>Dimsum Kepiting</v>
      </c>
    </row>
    <row r="253" spans="1:11" x14ac:dyDescent="0.25">
      <c r="A253" s="1" t="s">
        <v>17</v>
      </c>
      <c r="B253" t="s">
        <v>26</v>
      </c>
      <c r="C253" t="s">
        <v>9</v>
      </c>
      <c r="D253">
        <v>20</v>
      </c>
      <c r="E253">
        <v>12000</v>
      </c>
      <c r="F253" t="str">
        <f t="shared" si="12"/>
        <v>D 40000</v>
      </c>
      <c r="G253">
        <v>240000</v>
      </c>
      <c r="H253" t="s">
        <v>13</v>
      </c>
      <c r="I253" t="str">
        <f t="shared" si="13"/>
        <v>Dimsum Kepiting = 12000</v>
      </c>
      <c r="J253">
        <f t="shared" si="14"/>
        <v>15</v>
      </c>
      <c r="K253" t="str">
        <f t="shared" si="15"/>
        <v>Dimsum Kepiting</v>
      </c>
    </row>
    <row r="254" spans="1:11" x14ac:dyDescent="0.25">
      <c r="A254" s="1" t="s">
        <v>60</v>
      </c>
      <c r="B254" t="s">
        <v>22</v>
      </c>
      <c r="C254" t="s">
        <v>9</v>
      </c>
      <c r="D254">
        <v>7</v>
      </c>
      <c r="E254">
        <v>20000</v>
      </c>
      <c r="F254" t="str">
        <f t="shared" si="12"/>
        <v>D 40000</v>
      </c>
      <c r="G254">
        <v>140000</v>
      </c>
      <c r="H254" t="s">
        <v>13</v>
      </c>
      <c r="I254" t="str">
        <f t="shared" si="13"/>
        <v>Dimsum Nori = 20000</v>
      </c>
      <c r="J254">
        <f t="shared" si="14"/>
        <v>11</v>
      </c>
      <c r="K254" t="str">
        <f t="shared" si="15"/>
        <v>Dimsum Nori</v>
      </c>
    </row>
    <row r="255" spans="1:11" x14ac:dyDescent="0.25">
      <c r="A255" s="1" t="s">
        <v>68</v>
      </c>
      <c r="B255" t="s">
        <v>12</v>
      </c>
      <c r="C255" t="s">
        <v>9</v>
      </c>
      <c r="D255">
        <v>12</v>
      </c>
      <c r="E255">
        <v>12000</v>
      </c>
      <c r="F255" t="str">
        <f t="shared" si="12"/>
        <v>D 44000</v>
      </c>
      <c r="G255">
        <v>144000</v>
      </c>
      <c r="H255" t="s">
        <v>10</v>
      </c>
      <c r="I255" t="str">
        <f t="shared" si="13"/>
        <v>Dimsum Udang = 12000</v>
      </c>
      <c r="J255">
        <f t="shared" si="14"/>
        <v>12</v>
      </c>
      <c r="K255" t="str">
        <f t="shared" si="15"/>
        <v>Dimsum Udang</v>
      </c>
    </row>
    <row r="256" spans="1:11" x14ac:dyDescent="0.25">
      <c r="A256" s="1" t="s">
        <v>78</v>
      </c>
      <c r="B256" t="s">
        <v>8</v>
      </c>
      <c r="C256" t="s">
        <v>9</v>
      </c>
      <c r="D256">
        <v>13</v>
      </c>
      <c r="E256">
        <v>20000</v>
      </c>
      <c r="F256" t="str">
        <f t="shared" si="12"/>
        <v>D 60000</v>
      </c>
      <c r="G256">
        <v>260000</v>
      </c>
      <c r="H256" t="s">
        <v>18</v>
      </c>
      <c r="I256" t="str">
        <f t="shared" si="13"/>
        <v>Dimsum Ayam = 20000</v>
      </c>
      <c r="J256">
        <f t="shared" si="14"/>
        <v>11</v>
      </c>
      <c r="K256" t="str">
        <f t="shared" si="15"/>
        <v>Dimsum Ayam</v>
      </c>
    </row>
    <row r="257" spans="1:11" x14ac:dyDescent="0.25">
      <c r="A257" s="1" t="s">
        <v>73</v>
      </c>
      <c r="B257" t="s">
        <v>22</v>
      </c>
      <c r="C257" t="s">
        <v>9</v>
      </c>
      <c r="D257">
        <v>13</v>
      </c>
      <c r="E257">
        <v>18000</v>
      </c>
      <c r="F257" t="str">
        <f t="shared" si="12"/>
        <v>D 34000</v>
      </c>
      <c r="G257">
        <v>234000</v>
      </c>
      <c r="H257" t="s">
        <v>10</v>
      </c>
      <c r="I257" t="str">
        <f t="shared" si="13"/>
        <v>Dimsum Nori = 18000</v>
      </c>
      <c r="J257">
        <f t="shared" si="14"/>
        <v>11</v>
      </c>
      <c r="K257" t="str">
        <f t="shared" si="15"/>
        <v>Dimsum Nori</v>
      </c>
    </row>
    <row r="258" spans="1:11" x14ac:dyDescent="0.25">
      <c r="A258" s="1" t="s">
        <v>96</v>
      </c>
      <c r="B258" t="s">
        <v>8</v>
      </c>
      <c r="C258" t="s">
        <v>9</v>
      </c>
      <c r="D258">
        <v>12</v>
      </c>
      <c r="E258">
        <v>15000</v>
      </c>
      <c r="F258" t="str">
        <f t="shared" si="12"/>
        <v>D 80000</v>
      </c>
      <c r="G258">
        <v>180000</v>
      </c>
      <c r="H258" t="s">
        <v>13</v>
      </c>
      <c r="I258" t="str">
        <f t="shared" si="13"/>
        <v>Dimsum Ayam = 15000</v>
      </c>
      <c r="J258">
        <f t="shared" si="14"/>
        <v>11</v>
      </c>
      <c r="K258" t="str">
        <f t="shared" si="15"/>
        <v>Dimsum Ayam</v>
      </c>
    </row>
    <row r="259" spans="1:11" x14ac:dyDescent="0.25">
      <c r="A259" s="1" t="s">
        <v>76</v>
      </c>
      <c r="B259" t="s">
        <v>26</v>
      </c>
      <c r="C259" t="s">
        <v>9</v>
      </c>
      <c r="D259">
        <v>9</v>
      </c>
      <c r="E259">
        <v>20000</v>
      </c>
      <c r="F259" t="str">
        <f t="shared" ref="F259:F322" si="16">REPLACE(G259,1,1,"D ")</f>
        <v>D 80000</v>
      </c>
      <c r="G259">
        <v>180000</v>
      </c>
      <c r="H259" t="s">
        <v>20</v>
      </c>
      <c r="I259" t="str">
        <f t="shared" ref="I259:I322" si="17">CONCATENATE(B259, " = ", E259)</f>
        <v>Dimsum Kepiting = 20000</v>
      </c>
      <c r="J259">
        <f t="shared" ref="J259:J322" si="18">LEN(B259)</f>
        <v>15</v>
      </c>
      <c r="K259" t="str">
        <f t="shared" ref="K259:K322" si="19">TRIM(B259)</f>
        <v>Dimsum Kepiting</v>
      </c>
    </row>
    <row r="260" spans="1:11" x14ac:dyDescent="0.25">
      <c r="A260" s="1" t="s">
        <v>46</v>
      </c>
      <c r="B260" t="s">
        <v>16</v>
      </c>
      <c r="C260" t="s">
        <v>9</v>
      </c>
      <c r="D260">
        <v>4</v>
      </c>
      <c r="E260">
        <v>15000</v>
      </c>
      <c r="F260" t="str">
        <f t="shared" si="16"/>
        <v>D 0000</v>
      </c>
      <c r="G260">
        <v>60000</v>
      </c>
      <c r="H260" t="s">
        <v>18</v>
      </c>
      <c r="I260" t="str">
        <f t="shared" si="17"/>
        <v>Dimsum Ayam Jamur = 15000</v>
      </c>
      <c r="J260">
        <f t="shared" si="18"/>
        <v>17</v>
      </c>
      <c r="K260" t="str">
        <f t="shared" si="19"/>
        <v>Dimsum Ayam Jamur</v>
      </c>
    </row>
    <row r="261" spans="1:11" x14ac:dyDescent="0.25">
      <c r="A261" s="1" t="s">
        <v>17</v>
      </c>
      <c r="B261" t="s">
        <v>22</v>
      </c>
      <c r="C261" t="s">
        <v>9</v>
      </c>
      <c r="D261">
        <v>5</v>
      </c>
      <c r="E261">
        <v>20000</v>
      </c>
      <c r="F261" t="str">
        <f t="shared" si="16"/>
        <v>D 00000</v>
      </c>
      <c r="G261">
        <v>100000</v>
      </c>
      <c r="H261" t="s">
        <v>10</v>
      </c>
      <c r="I261" t="str">
        <f t="shared" si="17"/>
        <v>Dimsum Nori = 20000</v>
      </c>
      <c r="J261">
        <f t="shared" si="18"/>
        <v>11</v>
      </c>
      <c r="K261" t="str">
        <f t="shared" si="19"/>
        <v>Dimsum Nori</v>
      </c>
    </row>
    <row r="262" spans="1:11" x14ac:dyDescent="0.25">
      <c r="A262" s="1" t="s">
        <v>91</v>
      </c>
      <c r="B262" t="s">
        <v>8</v>
      </c>
      <c r="C262" t="s">
        <v>9</v>
      </c>
      <c r="D262">
        <v>6</v>
      </c>
      <c r="E262">
        <v>12000</v>
      </c>
      <c r="F262" t="str">
        <f t="shared" si="16"/>
        <v>D 2000</v>
      </c>
      <c r="G262">
        <v>72000</v>
      </c>
      <c r="H262" t="s">
        <v>13</v>
      </c>
      <c r="I262" t="str">
        <f t="shared" si="17"/>
        <v>Dimsum Ayam = 12000</v>
      </c>
      <c r="J262">
        <f t="shared" si="18"/>
        <v>11</v>
      </c>
      <c r="K262" t="str">
        <f t="shared" si="19"/>
        <v>Dimsum Ayam</v>
      </c>
    </row>
    <row r="263" spans="1:11" x14ac:dyDescent="0.25">
      <c r="A263" s="1" t="s">
        <v>63</v>
      </c>
      <c r="B263" t="s">
        <v>12</v>
      </c>
      <c r="C263" t="s">
        <v>9</v>
      </c>
      <c r="D263">
        <v>12</v>
      </c>
      <c r="E263">
        <v>18000</v>
      </c>
      <c r="F263" t="str">
        <f t="shared" si="16"/>
        <v>D 16000</v>
      </c>
      <c r="G263">
        <v>216000</v>
      </c>
      <c r="H263" t="s">
        <v>10</v>
      </c>
      <c r="I263" t="str">
        <f t="shared" si="17"/>
        <v>Dimsum Udang = 18000</v>
      </c>
      <c r="J263">
        <f t="shared" si="18"/>
        <v>12</v>
      </c>
      <c r="K263" t="str">
        <f t="shared" si="19"/>
        <v>Dimsum Udang</v>
      </c>
    </row>
    <row r="264" spans="1:11" x14ac:dyDescent="0.25">
      <c r="A264" s="1" t="s">
        <v>56</v>
      </c>
      <c r="B264" t="s">
        <v>16</v>
      </c>
      <c r="C264" t="s">
        <v>9</v>
      </c>
      <c r="D264">
        <v>1</v>
      </c>
      <c r="E264">
        <v>18000</v>
      </c>
      <c r="F264" t="str">
        <f t="shared" si="16"/>
        <v>D 8000</v>
      </c>
      <c r="G264">
        <v>18000</v>
      </c>
      <c r="H264" t="s">
        <v>20</v>
      </c>
      <c r="I264" t="str">
        <f t="shared" si="17"/>
        <v>Dimsum Ayam Jamur = 18000</v>
      </c>
      <c r="J264">
        <f t="shared" si="18"/>
        <v>17</v>
      </c>
      <c r="K264" t="str">
        <f t="shared" si="19"/>
        <v>Dimsum Ayam Jamur</v>
      </c>
    </row>
    <row r="265" spans="1:11" x14ac:dyDescent="0.25">
      <c r="A265" s="1" t="s">
        <v>105</v>
      </c>
      <c r="B265" t="s">
        <v>12</v>
      </c>
      <c r="C265" t="s">
        <v>9</v>
      </c>
      <c r="D265">
        <v>13</v>
      </c>
      <c r="E265">
        <v>15000</v>
      </c>
      <c r="F265" t="str">
        <f t="shared" si="16"/>
        <v>D 95000</v>
      </c>
      <c r="G265">
        <v>195000</v>
      </c>
      <c r="H265" t="s">
        <v>13</v>
      </c>
      <c r="I265" t="str">
        <f t="shared" si="17"/>
        <v>Dimsum Udang = 15000</v>
      </c>
      <c r="J265">
        <f t="shared" si="18"/>
        <v>12</v>
      </c>
      <c r="K265" t="str">
        <f t="shared" si="19"/>
        <v>Dimsum Udang</v>
      </c>
    </row>
    <row r="266" spans="1:11" x14ac:dyDescent="0.25">
      <c r="A266" s="1" t="s">
        <v>81</v>
      </c>
      <c r="B266" t="s">
        <v>12</v>
      </c>
      <c r="C266" t="s">
        <v>9</v>
      </c>
      <c r="D266">
        <v>2</v>
      </c>
      <c r="E266">
        <v>18000</v>
      </c>
      <c r="F266" t="str">
        <f t="shared" si="16"/>
        <v>D 6000</v>
      </c>
      <c r="G266">
        <v>36000</v>
      </c>
      <c r="H266" t="s">
        <v>10</v>
      </c>
      <c r="I266" t="str">
        <f t="shared" si="17"/>
        <v>Dimsum Udang = 18000</v>
      </c>
      <c r="J266">
        <f t="shared" si="18"/>
        <v>12</v>
      </c>
      <c r="K266" t="str">
        <f t="shared" si="19"/>
        <v>Dimsum Udang</v>
      </c>
    </row>
    <row r="267" spans="1:11" x14ac:dyDescent="0.25">
      <c r="A267" s="1" t="s">
        <v>49</v>
      </c>
      <c r="B267" t="s">
        <v>26</v>
      </c>
      <c r="C267" t="s">
        <v>9</v>
      </c>
      <c r="D267">
        <v>2</v>
      </c>
      <c r="E267">
        <v>15000</v>
      </c>
      <c r="F267" t="str">
        <f t="shared" si="16"/>
        <v>D 0000</v>
      </c>
      <c r="G267">
        <v>30000</v>
      </c>
      <c r="H267" t="s">
        <v>20</v>
      </c>
      <c r="I267" t="str">
        <f t="shared" si="17"/>
        <v>Dimsum Kepiting = 15000</v>
      </c>
      <c r="J267">
        <f t="shared" si="18"/>
        <v>15</v>
      </c>
      <c r="K267" t="str">
        <f t="shared" si="19"/>
        <v>Dimsum Kepiting</v>
      </c>
    </row>
    <row r="268" spans="1:11" x14ac:dyDescent="0.25">
      <c r="A268" s="1" t="s">
        <v>62</v>
      </c>
      <c r="B268" t="s">
        <v>26</v>
      </c>
      <c r="C268" t="s">
        <v>9</v>
      </c>
      <c r="D268">
        <v>8</v>
      </c>
      <c r="E268">
        <v>20000</v>
      </c>
      <c r="F268" t="str">
        <f t="shared" si="16"/>
        <v>D 60000</v>
      </c>
      <c r="G268">
        <v>160000</v>
      </c>
      <c r="H268" t="s">
        <v>13</v>
      </c>
      <c r="I268" t="str">
        <f t="shared" si="17"/>
        <v>Dimsum Kepiting = 20000</v>
      </c>
      <c r="J268">
        <f t="shared" si="18"/>
        <v>15</v>
      </c>
      <c r="K268" t="str">
        <f t="shared" si="19"/>
        <v>Dimsum Kepiting</v>
      </c>
    </row>
    <row r="269" spans="1:11" x14ac:dyDescent="0.25">
      <c r="A269" s="1" t="s">
        <v>78</v>
      </c>
      <c r="B269" t="s">
        <v>22</v>
      </c>
      <c r="C269" t="s">
        <v>9</v>
      </c>
      <c r="D269">
        <v>8</v>
      </c>
      <c r="E269">
        <v>12000</v>
      </c>
      <c r="F269" t="str">
        <f t="shared" si="16"/>
        <v>D 6000</v>
      </c>
      <c r="G269">
        <v>96000</v>
      </c>
      <c r="H269" t="s">
        <v>18</v>
      </c>
      <c r="I269" t="str">
        <f t="shared" si="17"/>
        <v>Dimsum Nori = 12000</v>
      </c>
      <c r="J269">
        <f t="shared" si="18"/>
        <v>11</v>
      </c>
      <c r="K269" t="str">
        <f t="shared" si="19"/>
        <v>Dimsum Nori</v>
      </c>
    </row>
    <row r="270" spans="1:11" x14ac:dyDescent="0.25">
      <c r="A270" s="1" t="s">
        <v>77</v>
      </c>
      <c r="B270" t="s">
        <v>16</v>
      </c>
      <c r="C270" t="s">
        <v>9</v>
      </c>
      <c r="D270">
        <v>3</v>
      </c>
      <c r="E270">
        <v>20000</v>
      </c>
      <c r="F270" t="str">
        <f t="shared" si="16"/>
        <v>D 0000</v>
      </c>
      <c r="G270">
        <v>60000</v>
      </c>
      <c r="H270" t="s">
        <v>18</v>
      </c>
      <c r="I270" t="str">
        <f t="shared" si="17"/>
        <v>Dimsum Ayam Jamur = 20000</v>
      </c>
      <c r="J270">
        <f t="shared" si="18"/>
        <v>17</v>
      </c>
      <c r="K270" t="str">
        <f t="shared" si="19"/>
        <v>Dimsum Ayam Jamur</v>
      </c>
    </row>
    <row r="271" spans="1:11" x14ac:dyDescent="0.25">
      <c r="A271" s="1" t="s">
        <v>106</v>
      </c>
      <c r="B271" t="s">
        <v>8</v>
      </c>
      <c r="C271" t="s">
        <v>9</v>
      </c>
      <c r="D271">
        <v>3</v>
      </c>
      <c r="E271">
        <v>15000</v>
      </c>
      <c r="F271" t="str">
        <f t="shared" si="16"/>
        <v>D 5000</v>
      </c>
      <c r="G271">
        <v>45000</v>
      </c>
      <c r="H271" t="s">
        <v>10</v>
      </c>
      <c r="I271" t="str">
        <f t="shared" si="17"/>
        <v>Dimsum Ayam = 15000</v>
      </c>
      <c r="J271">
        <f t="shared" si="18"/>
        <v>11</v>
      </c>
      <c r="K271" t="str">
        <f t="shared" si="19"/>
        <v>Dimsum Ayam</v>
      </c>
    </row>
    <row r="272" spans="1:11" x14ac:dyDescent="0.25">
      <c r="A272" s="1" t="s">
        <v>29</v>
      </c>
      <c r="B272" t="s">
        <v>16</v>
      </c>
      <c r="C272" t="s">
        <v>9</v>
      </c>
      <c r="D272">
        <v>20</v>
      </c>
      <c r="E272">
        <v>12000</v>
      </c>
      <c r="F272" t="str">
        <f t="shared" si="16"/>
        <v>D 40000</v>
      </c>
      <c r="G272">
        <v>240000</v>
      </c>
      <c r="H272" t="s">
        <v>20</v>
      </c>
      <c r="I272" t="str">
        <f t="shared" si="17"/>
        <v>Dimsum Ayam Jamur = 12000</v>
      </c>
      <c r="J272">
        <f t="shared" si="18"/>
        <v>17</v>
      </c>
      <c r="K272" t="str">
        <f t="shared" si="19"/>
        <v>Dimsum Ayam Jamur</v>
      </c>
    </row>
    <row r="273" spans="1:11" x14ac:dyDescent="0.25">
      <c r="A273" s="1" t="s">
        <v>101</v>
      </c>
      <c r="B273" t="s">
        <v>8</v>
      </c>
      <c r="C273" t="s">
        <v>9</v>
      </c>
      <c r="D273">
        <v>1</v>
      </c>
      <c r="E273">
        <v>18000</v>
      </c>
      <c r="F273" t="str">
        <f t="shared" si="16"/>
        <v>D 8000</v>
      </c>
      <c r="G273">
        <v>18000</v>
      </c>
      <c r="H273" t="s">
        <v>20</v>
      </c>
      <c r="I273" t="str">
        <f t="shared" si="17"/>
        <v>Dimsum Ayam = 18000</v>
      </c>
      <c r="J273">
        <f t="shared" si="18"/>
        <v>11</v>
      </c>
      <c r="K273" t="str">
        <f t="shared" si="19"/>
        <v>Dimsum Ayam</v>
      </c>
    </row>
    <row r="274" spans="1:11" x14ac:dyDescent="0.25">
      <c r="A274" s="1" t="s">
        <v>36</v>
      </c>
      <c r="B274" t="s">
        <v>12</v>
      </c>
      <c r="C274" t="s">
        <v>9</v>
      </c>
      <c r="D274">
        <v>4</v>
      </c>
      <c r="E274">
        <v>12000</v>
      </c>
      <c r="F274" t="str">
        <f t="shared" si="16"/>
        <v>D 8000</v>
      </c>
      <c r="G274">
        <v>48000</v>
      </c>
      <c r="H274" t="s">
        <v>13</v>
      </c>
      <c r="I274" t="str">
        <f t="shared" si="17"/>
        <v>Dimsum Udang = 12000</v>
      </c>
      <c r="J274">
        <f t="shared" si="18"/>
        <v>12</v>
      </c>
      <c r="K274" t="str">
        <f t="shared" si="19"/>
        <v>Dimsum Udang</v>
      </c>
    </row>
    <row r="275" spans="1:11" x14ac:dyDescent="0.25">
      <c r="A275" s="1" t="s">
        <v>7</v>
      </c>
      <c r="B275" t="s">
        <v>12</v>
      </c>
      <c r="C275" t="s">
        <v>9</v>
      </c>
      <c r="D275">
        <v>16</v>
      </c>
      <c r="E275">
        <v>15000</v>
      </c>
      <c r="F275" t="str">
        <f t="shared" si="16"/>
        <v>D 40000</v>
      </c>
      <c r="G275">
        <v>240000</v>
      </c>
      <c r="H275" t="s">
        <v>20</v>
      </c>
      <c r="I275" t="str">
        <f t="shared" si="17"/>
        <v>Dimsum Udang = 15000</v>
      </c>
      <c r="J275">
        <f t="shared" si="18"/>
        <v>12</v>
      </c>
      <c r="K275" t="str">
        <f t="shared" si="19"/>
        <v>Dimsum Udang</v>
      </c>
    </row>
    <row r="276" spans="1:11" x14ac:dyDescent="0.25">
      <c r="A276" s="1" t="s">
        <v>33</v>
      </c>
      <c r="B276" t="s">
        <v>22</v>
      </c>
      <c r="C276" t="s">
        <v>9</v>
      </c>
      <c r="D276">
        <v>15</v>
      </c>
      <c r="E276">
        <v>12000</v>
      </c>
      <c r="F276" t="str">
        <f t="shared" si="16"/>
        <v>D 80000</v>
      </c>
      <c r="G276">
        <v>180000</v>
      </c>
      <c r="H276" t="s">
        <v>20</v>
      </c>
      <c r="I276" t="str">
        <f t="shared" si="17"/>
        <v>Dimsum Nori = 12000</v>
      </c>
      <c r="J276">
        <f t="shared" si="18"/>
        <v>11</v>
      </c>
      <c r="K276" t="str">
        <f t="shared" si="19"/>
        <v>Dimsum Nori</v>
      </c>
    </row>
    <row r="277" spans="1:11" x14ac:dyDescent="0.25">
      <c r="A277" s="1" t="s">
        <v>85</v>
      </c>
      <c r="B277" t="s">
        <v>16</v>
      </c>
      <c r="C277" t="s">
        <v>9</v>
      </c>
      <c r="D277">
        <v>20</v>
      </c>
      <c r="E277">
        <v>18000</v>
      </c>
      <c r="F277" t="str">
        <f t="shared" si="16"/>
        <v>D 60000</v>
      </c>
      <c r="G277">
        <v>360000</v>
      </c>
      <c r="H277" t="s">
        <v>20</v>
      </c>
      <c r="I277" t="str">
        <f t="shared" si="17"/>
        <v>Dimsum Ayam Jamur = 18000</v>
      </c>
      <c r="J277">
        <f t="shared" si="18"/>
        <v>17</v>
      </c>
      <c r="K277" t="str">
        <f t="shared" si="19"/>
        <v>Dimsum Ayam Jamur</v>
      </c>
    </row>
    <row r="278" spans="1:11" x14ac:dyDescent="0.25">
      <c r="A278" s="1" t="s">
        <v>98</v>
      </c>
      <c r="B278" t="s">
        <v>16</v>
      </c>
      <c r="C278" t="s">
        <v>9</v>
      </c>
      <c r="D278">
        <v>12</v>
      </c>
      <c r="E278">
        <v>18000</v>
      </c>
      <c r="F278" t="str">
        <f t="shared" si="16"/>
        <v>D 16000</v>
      </c>
      <c r="G278">
        <v>216000</v>
      </c>
      <c r="H278" t="s">
        <v>13</v>
      </c>
      <c r="I278" t="str">
        <f t="shared" si="17"/>
        <v>Dimsum Ayam Jamur = 18000</v>
      </c>
      <c r="J278">
        <f t="shared" si="18"/>
        <v>17</v>
      </c>
      <c r="K278" t="str">
        <f t="shared" si="19"/>
        <v>Dimsum Ayam Jamur</v>
      </c>
    </row>
    <row r="279" spans="1:11" x14ac:dyDescent="0.25">
      <c r="A279" s="1" t="s">
        <v>36</v>
      </c>
      <c r="B279" t="s">
        <v>12</v>
      </c>
      <c r="C279" t="s">
        <v>9</v>
      </c>
      <c r="D279">
        <v>18</v>
      </c>
      <c r="E279">
        <v>15000</v>
      </c>
      <c r="F279" t="str">
        <f t="shared" si="16"/>
        <v>D 70000</v>
      </c>
      <c r="G279">
        <v>270000</v>
      </c>
      <c r="H279" t="s">
        <v>20</v>
      </c>
      <c r="I279" t="str">
        <f t="shared" si="17"/>
        <v>Dimsum Udang = 15000</v>
      </c>
      <c r="J279">
        <f t="shared" si="18"/>
        <v>12</v>
      </c>
      <c r="K279" t="str">
        <f t="shared" si="19"/>
        <v>Dimsum Udang</v>
      </c>
    </row>
    <row r="280" spans="1:11" x14ac:dyDescent="0.25">
      <c r="A280" s="1" t="s">
        <v>47</v>
      </c>
      <c r="B280" t="s">
        <v>26</v>
      </c>
      <c r="C280" t="s">
        <v>9</v>
      </c>
      <c r="D280">
        <v>10</v>
      </c>
      <c r="E280">
        <v>18000</v>
      </c>
      <c r="F280" t="str">
        <f t="shared" si="16"/>
        <v>D 80000</v>
      </c>
      <c r="G280">
        <v>180000</v>
      </c>
      <c r="H280" t="s">
        <v>13</v>
      </c>
      <c r="I280" t="str">
        <f t="shared" si="17"/>
        <v>Dimsum Kepiting = 18000</v>
      </c>
      <c r="J280">
        <f t="shared" si="18"/>
        <v>15</v>
      </c>
      <c r="K280" t="str">
        <f t="shared" si="19"/>
        <v>Dimsum Kepiting</v>
      </c>
    </row>
    <row r="281" spans="1:11" x14ac:dyDescent="0.25">
      <c r="A281" s="1" t="s">
        <v>82</v>
      </c>
      <c r="B281" t="s">
        <v>8</v>
      </c>
      <c r="C281" t="s">
        <v>9</v>
      </c>
      <c r="D281">
        <v>6</v>
      </c>
      <c r="E281">
        <v>15000</v>
      </c>
      <c r="F281" t="str">
        <f t="shared" si="16"/>
        <v>D 0000</v>
      </c>
      <c r="G281">
        <v>90000</v>
      </c>
      <c r="H281" t="s">
        <v>20</v>
      </c>
      <c r="I281" t="str">
        <f t="shared" si="17"/>
        <v>Dimsum Ayam = 15000</v>
      </c>
      <c r="J281">
        <f t="shared" si="18"/>
        <v>11</v>
      </c>
      <c r="K281" t="str">
        <f t="shared" si="19"/>
        <v>Dimsum Ayam</v>
      </c>
    </row>
    <row r="282" spans="1:11" x14ac:dyDescent="0.25">
      <c r="A282" s="1" t="s">
        <v>94</v>
      </c>
      <c r="B282" t="s">
        <v>22</v>
      </c>
      <c r="C282" t="s">
        <v>9</v>
      </c>
      <c r="D282">
        <v>19</v>
      </c>
      <c r="E282">
        <v>15000</v>
      </c>
      <c r="F282" t="str">
        <f t="shared" si="16"/>
        <v>D 85000</v>
      </c>
      <c r="G282">
        <v>285000</v>
      </c>
      <c r="H282" t="s">
        <v>13</v>
      </c>
      <c r="I282" t="str">
        <f t="shared" si="17"/>
        <v>Dimsum Nori = 15000</v>
      </c>
      <c r="J282">
        <f t="shared" si="18"/>
        <v>11</v>
      </c>
      <c r="K282" t="str">
        <f t="shared" si="19"/>
        <v>Dimsum Nori</v>
      </c>
    </row>
    <row r="283" spans="1:11" x14ac:dyDescent="0.25">
      <c r="A283" s="1" t="s">
        <v>60</v>
      </c>
      <c r="B283" t="s">
        <v>22</v>
      </c>
      <c r="C283" t="s">
        <v>9</v>
      </c>
      <c r="D283">
        <v>2</v>
      </c>
      <c r="E283">
        <v>12000</v>
      </c>
      <c r="F283" t="str">
        <f t="shared" si="16"/>
        <v>D 4000</v>
      </c>
      <c r="G283">
        <v>24000</v>
      </c>
      <c r="H283" t="s">
        <v>18</v>
      </c>
      <c r="I283" t="str">
        <f t="shared" si="17"/>
        <v>Dimsum Nori = 12000</v>
      </c>
      <c r="J283">
        <f t="shared" si="18"/>
        <v>11</v>
      </c>
      <c r="K283" t="str">
        <f t="shared" si="19"/>
        <v>Dimsum Nori</v>
      </c>
    </row>
    <row r="284" spans="1:11" x14ac:dyDescent="0.25">
      <c r="A284" s="1" t="s">
        <v>23</v>
      </c>
      <c r="B284" t="s">
        <v>16</v>
      </c>
      <c r="C284" t="s">
        <v>9</v>
      </c>
      <c r="D284">
        <v>15</v>
      </c>
      <c r="E284">
        <v>12000</v>
      </c>
      <c r="F284" t="str">
        <f t="shared" si="16"/>
        <v>D 80000</v>
      </c>
      <c r="G284">
        <v>180000</v>
      </c>
      <c r="H284" t="s">
        <v>18</v>
      </c>
      <c r="I284" t="str">
        <f t="shared" si="17"/>
        <v>Dimsum Ayam Jamur = 12000</v>
      </c>
      <c r="J284">
        <f t="shared" si="18"/>
        <v>17</v>
      </c>
      <c r="K284" t="str">
        <f t="shared" si="19"/>
        <v>Dimsum Ayam Jamur</v>
      </c>
    </row>
    <row r="285" spans="1:11" x14ac:dyDescent="0.25">
      <c r="A285" s="1" t="s">
        <v>55</v>
      </c>
      <c r="B285" t="s">
        <v>22</v>
      </c>
      <c r="C285" t="s">
        <v>9</v>
      </c>
      <c r="D285">
        <v>20</v>
      </c>
      <c r="E285">
        <v>15000</v>
      </c>
      <c r="F285" t="str">
        <f t="shared" si="16"/>
        <v>D 00000</v>
      </c>
      <c r="G285">
        <v>300000</v>
      </c>
      <c r="H285" t="s">
        <v>10</v>
      </c>
      <c r="I285" t="str">
        <f t="shared" si="17"/>
        <v>Dimsum Nori = 15000</v>
      </c>
      <c r="J285">
        <f t="shared" si="18"/>
        <v>11</v>
      </c>
      <c r="K285" t="str">
        <f t="shared" si="19"/>
        <v>Dimsum Nori</v>
      </c>
    </row>
    <row r="286" spans="1:11" x14ac:dyDescent="0.25">
      <c r="A286" s="1" t="s">
        <v>60</v>
      </c>
      <c r="B286" t="s">
        <v>8</v>
      </c>
      <c r="C286" t="s">
        <v>9</v>
      </c>
      <c r="D286">
        <v>2</v>
      </c>
      <c r="E286">
        <v>20000</v>
      </c>
      <c r="F286" t="str">
        <f t="shared" si="16"/>
        <v>D 0000</v>
      </c>
      <c r="G286">
        <v>40000</v>
      </c>
      <c r="H286" t="s">
        <v>18</v>
      </c>
      <c r="I286" t="str">
        <f t="shared" si="17"/>
        <v>Dimsum Ayam = 20000</v>
      </c>
      <c r="J286">
        <f t="shared" si="18"/>
        <v>11</v>
      </c>
      <c r="K286" t="str">
        <f t="shared" si="19"/>
        <v>Dimsum Ayam</v>
      </c>
    </row>
    <row r="287" spans="1:11" x14ac:dyDescent="0.25">
      <c r="A287" s="1" t="s">
        <v>28</v>
      </c>
      <c r="B287" t="s">
        <v>26</v>
      </c>
      <c r="C287" t="s">
        <v>9</v>
      </c>
      <c r="D287">
        <v>14</v>
      </c>
      <c r="E287">
        <v>18000</v>
      </c>
      <c r="F287" t="str">
        <f t="shared" si="16"/>
        <v>D 52000</v>
      </c>
      <c r="G287">
        <v>252000</v>
      </c>
      <c r="H287" t="s">
        <v>18</v>
      </c>
      <c r="I287" t="str">
        <f t="shared" si="17"/>
        <v>Dimsum Kepiting = 18000</v>
      </c>
      <c r="J287">
        <f t="shared" si="18"/>
        <v>15</v>
      </c>
      <c r="K287" t="str">
        <f t="shared" si="19"/>
        <v>Dimsum Kepiting</v>
      </c>
    </row>
    <row r="288" spans="1:11" x14ac:dyDescent="0.25">
      <c r="A288" s="1" t="s">
        <v>48</v>
      </c>
      <c r="B288" t="s">
        <v>22</v>
      </c>
      <c r="C288" t="s">
        <v>9</v>
      </c>
      <c r="D288">
        <v>10</v>
      </c>
      <c r="E288">
        <v>12000</v>
      </c>
      <c r="F288" t="str">
        <f t="shared" si="16"/>
        <v>D 20000</v>
      </c>
      <c r="G288">
        <v>120000</v>
      </c>
      <c r="H288" t="s">
        <v>20</v>
      </c>
      <c r="I288" t="str">
        <f t="shared" si="17"/>
        <v>Dimsum Nori = 12000</v>
      </c>
      <c r="J288">
        <f t="shared" si="18"/>
        <v>11</v>
      </c>
      <c r="K288" t="str">
        <f t="shared" si="19"/>
        <v>Dimsum Nori</v>
      </c>
    </row>
    <row r="289" spans="1:11" x14ac:dyDescent="0.25">
      <c r="A289" s="1" t="s">
        <v>48</v>
      </c>
      <c r="B289" t="s">
        <v>8</v>
      </c>
      <c r="C289" t="s">
        <v>9</v>
      </c>
      <c r="D289">
        <v>18</v>
      </c>
      <c r="E289">
        <v>18000</v>
      </c>
      <c r="F289" t="str">
        <f t="shared" si="16"/>
        <v>D 24000</v>
      </c>
      <c r="G289">
        <v>324000</v>
      </c>
      <c r="H289" t="s">
        <v>13</v>
      </c>
      <c r="I289" t="str">
        <f t="shared" si="17"/>
        <v>Dimsum Ayam = 18000</v>
      </c>
      <c r="J289">
        <f t="shared" si="18"/>
        <v>11</v>
      </c>
      <c r="K289" t="str">
        <f t="shared" si="19"/>
        <v>Dimsum Ayam</v>
      </c>
    </row>
    <row r="290" spans="1:11" x14ac:dyDescent="0.25">
      <c r="A290" s="1" t="s">
        <v>21</v>
      </c>
      <c r="B290" t="s">
        <v>26</v>
      </c>
      <c r="C290" t="s">
        <v>9</v>
      </c>
      <c r="D290">
        <v>11</v>
      </c>
      <c r="E290">
        <v>12000</v>
      </c>
      <c r="F290" t="str">
        <f t="shared" si="16"/>
        <v>D 32000</v>
      </c>
      <c r="G290">
        <v>132000</v>
      </c>
      <c r="H290" t="s">
        <v>13</v>
      </c>
      <c r="I290" t="str">
        <f t="shared" si="17"/>
        <v>Dimsum Kepiting = 12000</v>
      </c>
      <c r="J290">
        <f t="shared" si="18"/>
        <v>15</v>
      </c>
      <c r="K290" t="str">
        <f t="shared" si="19"/>
        <v>Dimsum Kepiting</v>
      </c>
    </row>
    <row r="291" spans="1:11" x14ac:dyDescent="0.25">
      <c r="A291" s="1" t="s">
        <v>78</v>
      </c>
      <c r="B291" t="s">
        <v>22</v>
      </c>
      <c r="C291" t="s">
        <v>9</v>
      </c>
      <c r="D291">
        <v>2</v>
      </c>
      <c r="E291">
        <v>18000</v>
      </c>
      <c r="F291" t="str">
        <f t="shared" si="16"/>
        <v>D 6000</v>
      </c>
      <c r="G291">
        <v>36000</v>
      </c>
      <c r="H291" t="s">
        <v>18</v>
      </c>
      <c r="I291" t="str">
        <f t="shared" si="17"/>
        <v>Dimsum Nori = 18000</v>
      </c>
      <c r="J291">
        <f t="shared" si="18"/>
        <v>11</v>
      </c>
      <c r="K291" t="str">
        <f t="shared" si="19"/>
        <v>Dimsum Nori</v>
      </c>
    </row>
    <row r="292" spans="1:11" x14ac:dyDescent="0.25">
      <c r="A292" s="1" t="s">
        <v>56</v>
      </c>
      <c r="B292" t="s">
        <v>22</v>
      </c>
      <c r="C292" t="s">
        <v>9</v>
      </c>
      <c r="D292">
        <v>3</v>
      </c>
      <c r="E292">
        <v>18000</v>
      </c>
      <c r="F292" t="str">
        <f t="shared" si="16"/>
        <v>D 4000</v>
      </c>
      <c r="G292">
        <v>54000</v>
      </c>
      <c r="H292" t="s">
        <v>13</v>
      </c>
      <c r="I292" t="str">
        <f t="shared" si="17"/>
        <v>Dimsum Nori = 18000</v>
      </c>
      <c r="J292">
        <f t="shared" si="18"/>
        <v>11</v>
      </c>
      <c r="K292" t="str">
        <f t="shared" si="19"/>
        <v>Dimsum Nori</v>
      </c>
    </row>
    <row r="293" spans="1:11" x14ac:dyDescent="0.25">
      <c r="A293" s="1" t="s">
        <v>29</v>
      </c>
      <c r="B293" t="s">
        <v>12</v>
      </c>
      <c r="C293" t="s">
        <v>9</v>
      </c>
      <c r="D293">
        <v>11</v>
      </c>
      <c r="E293">
        <v>18000</v>
      </c>
      <c r="F293" t="str">
        <f t="shared" si="16"/>
        <v>D 98000</v>
      </c>
      <c r="G293">
        <v>198000</v>
      </c>
      <c r="H293" t="s">
        <v>20</v>
      </c>
      <c r="I293" t="str">
        <f t="shared" si="17"/>
        <v>Dimsum Udang = 18000</v>
      </c>
      <c r="J293">
        <f t="shared" si="18"/>
        <v>12</v>
      </c>
      <c r="K293" t="str">
        <f t="shared" si="19"/>
        <v>Dimsum Udang</v>
      </c>
    </row>
    <row r="294" spans="1:11" x14ac:dyDescent="0.25">
      <c r="A294" s="1" t="s">
        <v>78</v>
      </c>
      <c r="B294" t="s">
        <v>8</v>
      </c>
      <c r="C294" t="s">
        <v>9</v>
      </c>
      <c r="D294">
        <v>6</v>
      </c>
      <c r="E294">
        <v>15000</v>
      </c>
      <c r="F294" t="str">
        <f t="shared" si="16"/>
        <v>D 0000</v>
      </c>
      <c r="G294">
        <v>90000</v>
      </c>
      <c r="H294" t="s">
        <v>18</v>
      </c>
      <c r="I294" t="str">
        <f t="shared" si="17"/>
        <v>Dimsum Ayam = 15000</v>
      </c>
      <c r="J294">
        <f t="shared" si="18"/>
        <v>11</v>
      </c>
      <c r="K294" t="str">
        <f t="shared" si="19"/>
        <v>Dimsum Ayam</v>
      </c>
    </row>
    <row r="295" spans="1:11" x14ac:dyDescent="0.25">
      <c r="A295" s="1" t="s">
        <v>14</v>
      </c>
      <c r="B295" t="s">
        <v>26</v>
      </c>
      <c r="C295" t="s">
        <v>9</v>
      </c>
      <c r="D295">
        <v>14</v>
      </c>
      <c r="E295">
        <v>20000</v>
      </c>
      <c r="F295" t="str">
        <f t="shared" si="16"/>
        <v>D 80000</v>
      </c>
      <c r="G295">
        <v>280000</v>
      </c>
      <c r="H295" t="s">
        <v>18</v>
      </c>
      <c r="I295" t="str">
        <f t="shared" si="17"/>
        <v>Dimsum Kepiting = 20000</v>
      </c>
      <c r="J295">
        <f t="shared" si="18"/>
        <v>15</v>
      </c>
      <c r="K295" t="str">
        <f t="shared" si="19"/>
        <v>Dimsum Kepiting</v>
      </c>
    </row>
    <row r="296" spans="1:11" x14ac:dyDescent="0.25">
      <c r="A296" s="1" t="s">
        <v>27</v>
      </c>
      <c r="B296" t="s">
        <v>12</v>
      </c>
      <c r="C296" t="s">
        <v>9</v>
      </c>
      <c r="D296">
        <v>15</v>
      </c>
      <c r="E296">
        <v>15000</v>
      </c>
      <c r="F296" t="str">
        <f t="shared" si="16"/>
        <v>D 25000</v>
      </c>
      <c r="G296">
        <v>225000</v>
      </c>
      <c r="H296" t="s">
        <v>13</v>
      </c>
      <c r="I296" t="str">
        <f t="shared" si="17"/>
        <v>Dimsum Udang = 15000</v>
      </c>
      <c r="J296">
        <f t="shared" si="18"/>
        <v>12</v>
      </c>
      <c r="K296" t="str">
        <f t="shared" si="19"/>
        <v>Dimsum Udang</v>
      </c>
    </row>
    <row r="297" spans="1:11" x14ac:dyDescent="0.25">
      <c r="A297" s="1" t="s">
        <v>34</v>
      </c>
      <c r="B297" t="s">
        <v>16</v>
      </c>
      <c r="C297" t="s">
        <v>9</v>
      </c>
      <c r="D297">
        <v>10</v>
      </c>
      <c r="E297">
        <v>15000</v>
      </c>
      <c r="F297" t="str">
        <f t="shared" si="16"/>
        <v>D 50000</v>
      </c>
      <c r="G297">
        <v>150000</v>
      </c>
      <c r="H297" t="s">
        <v>13</v>
      </c>
      <c r="I297" t="str">
        <f t="shared" si="17"/>
        <v>Dimsum Ayam Jamur = 15000</v>
      </c>
      <c r="J297">
        <f t="shared" si="18"/>
        <v>17</v>
      </c>
      <c r="K297" t="str">
        <f t="shared" si="19"/>
        <v>Dimsum Ayam Jamur</v>
      </c>
    </row>
    <row r="298" spans="1:11" x14ac:dyDescent="0.25">
      <c r="A298" s="1" t="s">
        <v>60</v>
      </c>
      <c r="B298" t="s">
        <v>26</v>
      </c>
      <c r="C298" t="s">
        <v>9</v>
      </c>
      <c r="D298">
        <v>17</v>
      </c>
      <c r="E298">
        <v>12000</v>
      </c>
      <c r="F298" t="str">
        <f t="shared" si="16"/>
        <v>D 04000</v>
      </c>
      <c r="G298">
        <v>204000</v>
      </c>
      <c r="H298" t="s">
        <v>13</v>
      </c>
      <c r="I298" t="str">
        <f t="shared" si="17"/>
        <v>Dimsum Kepiting = 12000</v>
      </c>
      <c r="J298">
        <f t="shared" si="18"/>
        <v>15</v>
      </c>
      <c r="K298" t="str">
        <f t="shared" si="19"/>
        <v>Dimsum Kepiting</v>
      </c>
    </row>
    <row r="299" spans="1:11" x14ac:dyDescent="0.25">
      <c r="A299" s="1" t="s">
        <v>48</v>
      </c>
      <c r="B299" t="s">
        <v>22</v>
      </c>
      <c r="C299" t="s">
        <v>9</v>
      </c>
      <c r="D299">
        <v>13</v>
      </c>
      <c r="E299">
        <v>12000</v>
      </c>
      <c r="F299" t="str">
        <f t="shared" si="16"/>
        <v>D 56000</v>
      </c>
      <c r="G299">
        <v>156000</v>
      </c>
      <c r="H299" t="s">
        <v>20</v>
      </c>
      <c r="I299" t="str">
        <f t="shared" si="17"/>
        <v>Dimsum Nori = 12000</v>
      </c>
      <c r="J299">
        <f t="shared" si="18"/>
        <v>11</v>
      </c>
      <c r="K299" t="str">
        <f t="shared" si="19"/>
        <v>Dimsum Nori</v>
      </c>
    </row>
    <row r="300" spans="1:11" x14ac:dyDescent="0.25">
      <c r="A300" s="1" t="s">
        <v>32</v>
      </c>
      <c r="B300" t="s">
        <v>22</v>
      </c>
      <c r="C300" t="s">
        <v>9</v>
      </c>
      <c r="D300">
        <v>15</v>
      </c>
      <c r="E300">
        <v>15000</v>
      </c>
      <c r="F300" t="str">
        <f t="shared" si="16"/>
        <v>D 25000</v>
      </c>
      <c r="G300">
        <v>225000</v>
      </c>
      <c r="H300" t="s">
        <v>13</v>
      </c>
      <c r="I300" t="str">
        <f t="shared" si="17"/>
        <v>Dimsum Nori = 15000</v>
      </c>
      <c r="J300">
        <f t="shared" si="18"/>
        <v>11</v>
      </c>
      <c r="K300" t="str">
        <f t="shared" si="19"/>
        <v>Dimsum Nori</v>
      </c>
    </row>
    <row r="301" spans="1:11" x14ac:dyDescent="0.25">
      <c r="A301" s="1" t="s">
        <v>40</v>
      </c>
      <c r="B301" t="s">
        <v>16</v>
      </c>
      <c r="C301" t="s">
        <v>9</v>
      </c>
      <c r="D301">
        <v>2</v>
      </c>
      <c r="E301">
        <v>18000</v>
      </c>
      <c r="F301" t="str">
        <f t="shared" si="16"/>
        <v>D 6000</v>
      </c>
      <c r="G301">
        <v>36000</v>
      </c>
      <c r="H301" t="s">
        <v>20</v>
      </c>
      <c r="I301" t="str">
        <f t="shared" si="17"/>
        <v>Dimsum Ayam Jamur = 18000</v>
      </c>
      <c r="J301">
        <f t="shared" si="18"/>
        <v>17</v>
      </c>
      <c r="K301" t="str">
        <f t="shared" si="19"/>
        <v>Dimsum Ayam Jamur</v>
      </c>
    </row>
    <row r="302" spans="1:11" x14ac:dyDescent="0.25">
      <c r="A302" s="1" t="s">
        <v>7</v>
      </c>
      <c r="B302" t="s">
        <v>12</v>
      </c>
      <c r="C302" t="s">
        <v>9</v>
      </c>
      <c r="D302">
        <v>15</v>
      </c>
      <c r="E302">
        <v>15000</v>
      </c>
      <c r="F302" t="str">
        <f t="shared" si="16"/>
        <v>D 25000</v>
      </c>
      <c r="G302">
        <v>225000</v>
      </c>
      <c r="H302" t="s">
        <v>10</v>
      </c>
      <c r="I302" t="str">
        <f t="shared" si="17"/>
        <v>Dimsum Udang = 15000</v>
      </c>
      <c r="J302">
        <f t="shared" si="18"/>
        <v>12</v>
      </c>
      <c r="K302" t="str">
        <f t="shared" si="19"/>
        <v>Dimsum Udang</v>
      </c>
    </row>
    <row r="303" spans="1:11" x14ac:dyDescent="0.25">
      <c r="A303" s="1" t="s">
        <v>29</v>
      </c>
      <c r="B303" t="s">
        <v>26</v>
      </c>
      <c r="C303" t="s">
        <v>9</v>
      </c>
      <c r="D303">
        <v>9</v>
      </c>
      <c r="E303">
        <v>12000</v>
      </c>
      <c r="F303" t="str">
        <f t="shared" si="16"/>
        <v>D 08000</v>
      </c>
      <c r="G303">
        <v>108000</v>
      </c>
      <c r="H303" t="s">
        <v>10</v>
      </c>
      <c r="I303" t="str">
        <f t="shared" si="17"/>
        <v>Dimsum Kepiting = 12000</v>
      </c>
      <c r="J303">
        <f t="shared" si="18"/>
        <v>15</v>
      </c>
      <c r="K303" t="str">
        <f t="shared" si="19"/>
        <v>Dimsum Kepiting</v>
      </c>
    </row>
    <row r="304" spans="1:11" x14ac:dyDescent="0.25">
      <c r="A304" s="1" t="s">
        <v>37</v>
      </c>
      <c r="B304" t="s">
        <v>26</v>
      </c>
      <c r="C304" t="s">
        <v>9</v>
      </c>
      <c r="D304">
        <v>5</v>
      </c>
      <c r="E304">
        <v>18000</v>
      </c>
      <c r="F304" t="str">
        <f t="shared" si="16"/>
        <v>D 0000</v>
      </c>
      <c r="G304">
        <v>90000</v>
      </c>
      <c r="H304" t="s">
        <v>18</v>
      </c>
      <c r="I304" t="str">
        <f t="shared" si="17"/>
        <v>Dimsum Kepiting = 18000</v>
      </c>
      <c r="J304">
        <f t="shared" si="18"/>
        <v>15</v>
      </c>
      <c r="K304" t="str">
        <f t="shared" si="19"/>
        <v>Dimsum Kepiting</v>
      </c>
    </row>
    <row r="305" spans="1:11" x14ac:dyDescent="0.25">
      <c r="A305" s="1" t="s">
        <v>45</v>
      </c>
      <c r="B305" t="s">
        <v>8</v>
      </c>
      <c r="C305" t="s">
        <v>9</v>
      </c>
      <c r="D305">
        <v>2</v>
      </c>
      <c r="E305">
        <v>20000</v>
      </c>
      <c r="F305" t="str">
        <f t="shared" si="16"/>
        <v>D 0000</v>
      </c>
      <c r="G305">
        <v>40000</v>
      </c>
      <c r="H305" t="s">
        <v>20</v>
      </c>
      <c r="I305" t="str">
        <f t="shared" si="17"/>
        <v>Dimsum Ayam = 20000</v>
      </c>
      <c r="J305">
        <f t="shared" si="18"/>
        <v>11</v>
      </c>
      <c r="K305" t="str">
        <f t="shared" si="19"/>
        <v>Dimsum Ayam</v>
      </c>
    </row>
    <row r="306" spans="1:11" x14ac:dyDescent="0.25">
      <c r="A306" s="1" t="s">
        <v>77</v>
      </c>
      <c r="B306" t="s">
        <v>26</v>
      </c>
      <c r="C306" t="s">
        <v>9</v>
      </c>
      <c r="D306">
        <v>10</v>
      </c>
      <c r="E306">
        <v>15000</v>
      </c>
      <c r="F306" t="str">
        <f t="shared" si="16"/>
        <v>D 50000</v>
      </c>
      <c r="G306">
        <v>150000</v>
      </c>
      <c r="H306" t="s">
        <v>18</v>
      </c>
      <c r="I306" t="str">
        <f t="shared" si="17"/>
        <v>Dimsum Kepiting = 15000</v>
      </c>
      <c r="J306">
        <f t="shared" si="18"/>
        <v>15</v>
      </c>
      <c r="K306" t="str">
        <f t="shared" si="19"/>
        <v>Dimsum Kepiting</v>
      </c>
    </row>
    <row r="307" spans="1:11" x14ac:dyDescent="0.25">
      <c r="A307" s="1" t="s">
        <v>101</v>
      </c>
      <c r="B307" t="s">
        <v>22</v>
      </c>
      <c r="C307" t="s">
        <v>9</v>
      </c>
      <c r="D307">
        <v>8</v>
      </c>
      <c r="E307">
        <v>15000</v>
      </c>
      <c r="F307" t="str">
        <f t="shared" si="16"/>
        <v>D 20000</v>
      </c>
      <c r="G307">
        <v>120000</v>
      </c>
      <c r="H307" t="s">
        <v>20</v>
      </c>
      <c r="I307" t="str">
        <f t="shared" si="17"/>
        <v>Dimsum Nori = 15000</v>
      </c>
      <c r="J307">
        <f t="shared" si="18"/>
        <v>11</v>
      </c>
      <c r="K307" t="str">
        <f t="shared" si="19"/>
        <v>Dimsum Nori</v>
      </c>
    </row>
    <row r="308" spans="1:11" x14ac:dyDescent="0.25">
      <c r="A308" s="1" t="s">
        <v>39</v>
      </c>
      <c r="B308" t="s">
        <v>26</v>
      </c>
      <c r="C308" t="s">
        <v>9</v>
      </c>
      <c r="D308">
        <v>3</v>
      </c>
      <c r="E308">
        <v>15000</v>
      </c>
      <c r="F308" t="str">
        <f t="shared" si="16"/>
        <v>D 5000</v>
      </c>
      <c r="G308">
        <v>45000</v>
      </c>
      <c r="H308" t="s">
        <v>13</v>
      </c>
      <c r="I308" t="str">
        <f t="shared" si="17"/>
        <v>Dimsum Kepiting = 15000</v>
      </c>
      <c r="J308">
        <f t="shared" si="18"/>
        <v>15</v>
      </c>
      <c r="K308" t="str">
        <f t="shared" si="19"/>
        <v>Dimsum Kepiting</v>
      </c>
    </row>
    <row r="309" spans="1:11" x14ac:dyDescent="0.25">
      <c r="A309" s="1" t="s">
        <v>45</v>
      </c>
      <c r="B309" t="s">
        <v>26</v>
      </c>
      <c r="C309" t="s">
        <v>9</v>
      </c>
      <c r="D309">
        <v>9</v>
      </c>
      <c r="E309">
        <v>12000</v>
      </c>
      <c r="F309" t="str">
        <f t="shared" si="16"/>
        <v>D 08000</v>
      </c>
      <c r="G309">
        <v>108000</v>
      </c>
      <c r="H309" t="s">
        <v>18</v>
      </c>
      <c r="I309" t="str">
        <f t="shared" si="17"/>
        <v>Dimsum Kepiting = 12000</v>
      </c>
      <c r="J309">
        <f t="shared" si="18"/>
        <v>15</v>
      </c>
      <c r="K309" t="str">
        <f t="shared" si="19"/>
        <v>Dimsum Kepiting</v>
      </c>
    </row>
    <row r="310" spans="1:11" x14ac:dyDescent="0.25">
      <c r="A310" s="1" t="s">
        <v>28</v>
      </c>
      <c r="B310" t="s">
        <v>16</v>
      </c>
      <c r="C310" t="s">
        <v>9</v>
      </c>
      <c r="D310">
        <v>9</v>
      </c>
      <c r="E310">
        <v>12000</v>
      </c>
      <c r="F310" t="str">
        <f t="shared" si="16"/>
        <v>D 08000</v>
      </c>
      <c r="G310">
        <v>108000</v>
      </c>
      <c r="H310" t="s">
        <v>18</v>
      </c>
      <c r="I310" t="str">
        <f t="shared" si="17"/>
        <v>Dimsum Ayam Jamur = 12000</v>
      </c>
      <c r="J310">
        <f t="shared" si="18"/>
        <v>17</v>
      </c>
      <c r="K310" t="str">
        <f t="shared" si="19"/>
        <v>Dimsum Ayam Jamur</v>
      </c>
    </row>
    <row r="311" spans="1:11" x14ac:dyDescent="0.25">
      <c r="A311" s="1" t="s">
        <v>56</v>
      </c>
      <c r="B311" t="s">
        <v>12</v>
      </c>
      <c r="C311" t="s">
        <v>9</v>
      </c>
      <c r="D311">
        <v>6</v>
      </c>
      <c r="E311">
        <v>12000</v>
      </c>
      <c r="F311" t="str">
        <f t="shared" si="16"/>
        <v>D 2000</v>
      </c>
      <c r="G311">
        <v>72000</v>
      </c>
      <c r="H311" t="s">
        <v>20</v>
      </c>
      <c r="I311" t="str">
        <f t="shared" si="17"/>
        <v>Dimsum Udang = 12000</v>
      </c>
      <c r="J311">
        <f t="shared" si="18"/>
        <v>12</v>
      </c>
      <c r="K311" t="str">
        <f t="shared" si="19"/>
        <v>Dimsum Udang</v>
      </c>
    </row>
    <row r="312" spans="1:11" x14ac:dyDescent="0.25">
      <c r="A312" s="1" t="s">
        <v>98</v>
      </c>
      <c r="B312" t="s">
        <v>26</v>
      </c>
      <c r="C312" t="s">
        <v>9</v>
      </c>
      <c r="D312">
        <v>16</v>
      </c>
      <c r="E312">
        <v>12000</v>
      </c>
      <c r="F312" t="str">
        <f t="shared" si="16"/>
        <v>D 92000</v>
      </c>
      <c r="G312">
        <v>192000</v>
      </c>
      <c r="H312" t="s">
        <v>13</v>
      </c>
      <c r="I312" t="str">
        <f t="shared" si="17"/>
        <v>Dimsum Kepiting = 12000</v>
      </c>
      <c r="J312">
        <f t="shared" si="18"/>
        <v>15</v>
      </c>
      <c r="K312" t="str">
        <f t="shared" si="19"/>
        <v>Dimsum Kepiting</v>
      </c>
    </row>
    <row r="313" spans="1:11" x14ac:dyDescent="0.25">
      <c r="A313" s="1" t="s">
        <v>93</v>
      </c>
      <c r="B313" t="s">
        <v>26</v>
      </c>
      <c r="C313" t="s">
        <v>9</v>
      </c>
      <c r="D313">
        <v>13</v>
      </c>
      <c r="E313">
        <v>12000</v>
      </c>
      <c r="F313" t="str">
        <f t="shared" si="16"/>
        <v>D 56000</v>
      </c>
      <c r="G313">
        <v>156000</v>
      </c>
      <c r="H313" t="s">
        <v>10</v>
      </c>
      <c r="I313" t="str">
        <f t="shared" si="17"/>
        <v>Dimsum Kepiting = 12000</v>
      </c>
      <c r="J313">
        <f t="shared" si="18"/>
        <v>15</v>
      </c>
      <c r="K313" t="str">
        <f t="shared" si="19"/>
        <v>Dimsum Kepiting</v>
      </c>
    </row>
    <row r="314" spans="1:11" x14ac:dyDescent="0.25">
      <c r="A314" s="1" t="s">
        <v>97</v>
      </c>
      <c r="B314" t="s">
        <v>16</v>
      </c>
      <c r="C314" t="s">
        <v>9</v>
      </c>
      <c r="D314">
        <v>5</v>
      </c>
      <c r="E314">
        <v>18000</v>
      </c>
      <c r="F314" t="str">
        <f t="shared" si="16"/>
        <v>D 0000</v>
      </c>
      <c r="G314">
        <v>90000</v>
      </c>
      <c r="H314" t="s">
        <v>18</v>
      </c>
      <c r="I314" t="str">
        <f t="shared" si="17"/>
        <v>Dimsum Ayam Jamur = 18000</v>
      </c>
      <c r="J314">
        <f t="shared" si="18"/>
        <v>17</v>
      </c>
      <c r="K314" t="str">
        <f t="shared" si="19"/>
        <v>Dimsum Ayam Jamur</v>
      </c>
    </row>
    <row r="315" spans="1:11" x14ac:dyDescent="0.25">
      <c r="A315" s="1" t="s">
        <v>11</v>
      </c>
      <c r="B315" t="s">
        <v>26</v>
      </c>
      <c r="C315" t="s">
        <v>9</v>
      </c>
      <c r="D315">
        <v>12</v>
      </c>
      <c r="E315">
        <v>12000</v>
      </c>
      <c r="F315" t="str">
        <f t="shared" si="16"/>
        <v>D 44000</v>
      </c>
      <c r="G315">
        <v>144000</v>
      </c>
      <c r="H315" t="s">
        <v>20</v>
      </c>
      <c r="I315" t="str">
        <f t="shared" si="17"/>
        <v>Dimsum Kepiting = 12000</v>
      </c>
      <c r="J315">
        <f t="shared" si="18"/>
        <v>15</v>
      </c>
      <c r="K315" t="str">
        <f t="shared" si="19"/>
        <v>Dimsum Kepiting</v>
      </c>
    </row>
    <row r="316" spans="1:11" x14ac:dyDescent="0.25">
      <c r="A316" s="1" t="s">
        <v>105</v>
      </c>
      <c r="B316" t="s">
        <v>16</v>
      </c>
      <c r="C316" t="s">
        <v>9</v>
      </c>
      <c r="D316">
        <v>14</v>
      </c>
      <c r="E316">
        <v>18000</v>
      </c>
      <c r="F316" t="str">
        <f t="shared" si="16"/>
        <v>D 52000</v>
      </c>
      <c r="G316">
        <v>252000</v>
      </c>
      <c r="H316" t="s">
        <v>13</v>
      </c>
      <c r="I316" t="str">
        <f t="shared" si="17"/>
        <v>Dimsum Ayam Jamur = 18000</v>
      </c>
      <c r="J316">
        <f t="shared" si="18"/>
        <v>17</v>
      </c>
      <c r="K316" t="str">
        <f t="shared" si="19"/>
        <v>Dimsum Ayam Jamur</v>
      </c>
    </row>
    <row r="317" spans="1:11" x14ac:dyDescent="0.25">
      <c r="A317" s="1" t="s">
        <v>45</v>
      </c>
      <c r="B317" t="s">
        <v>8</v>
      </c>
      <c r="C317" t="s">
        <v>9</v>
      </c>
      <c r="D317">
        <v>12</v>
      </c>
      <c r="E317">
        <v>12000</v>
      </c>
      <c r="F317" t="str">
        <f t="shared" si="16"/>
        <v>D 44000</v>
      </c>
      <c r="G317">
        <v>144000</v>
      </c>
      <c r="H317" t="s">
        <v>13</v>
      </c>
      <c r="I317" t="str">
        <f t="shared" si="17"/>
        <v>Dimsum Ayam = 12000</v>
      </c>
      <c r="J317">
        <f t="shared" si="18"/>
        <v>11</v>
      </c>
      <c r="K317" t="str">
        <f t="shared" si="19"/>
        <v>Dimsum Ayam</v>
      </c>
    </row>
    <row r="318" spans="1:11" x14ac:dyDescent="0.25">
      <c r="A318" s="1" t="s">
        <v>59</v>
      </c>
      <c r="B318" t="s">
        <v>16</v>
      </c>
      <c r="C318" t="s">
        <v>9</v>
      </c>
      <c r="D318">
        <v>15</v>
      </c>
      <c r="E318">
        <v>12000</v>
      </c>
      <c r="F318" t="str">
        <f t="shared" si="16"/>
        <v>D 80000</v>
      </c>
      <c r="G318">
        <v>180000</v>
      </c>
      <c r="H318" t="s">
        <v>20</v>
      </c>
      <c r="I318" t="str">
        <f t="shared" si="17"/>
        <v>Dimsum Ayam Jamur = 12000</v>
      </c>
      <c r="J318">
        <f t="shared" si="18"/>
        <v>17</v>
      </c>
      <c r="K318" t="str">
        <f t="shared" si="19"/>
        <v>Dimsum Ayam Jamur</v>
      </c>
    </row>
    <row r="319" spans="1:11" x14ac:dyDescent="0.25">
      <c r="A319" s="1" t="s">
        <v>47</v>
      </c>
      <c r="B319" t="s">
        <v>8</v>
      </c>
      <c r="C319" t="s">
        <v>9</v>
      </c>
      <c r="D319">
        <v>11</v>
      </c>
      <c r="E319">
        <v>18000</v>
      </c>
      <c r="F319" t="str">
        <f t="shared" si="16"/>
        <v>D 98000</v>
      </c>
      <c r="G319">
        <v>198000</v>
      </c>
      <c r="H319" t="s">
        <v>20</v>
      </c>
      <c r="I319" t="str">
        <f t="shared" si="17"/>
        <v>Dimsum Ayam = 18000</v>
      </c>
      <c r="J319">
        <f t="shared" si="18"/>
        <v>11</v>
      </c>
      <c r="K319" t="str">
        <f t="shared" si="19"/>
        <v>Dimsum Ayam</v>
      </c>
    </row>
    <row r="320" spans="1:11" x14ac:dyDescent="0.25">
      <c r="A320" s="1" t="s">
        <v>31</v>
      </c>
      <c r="B320" t="s">
        <v>16</v>
      </c>
      <c r="C320" t="s">
        <v>9</v>
      </c>
      <c r="D320">
        <v>3</v>
      </c>
      <c r="E320">
        <v>15000</v>
      </c>
      <c r="F320" t="str">
        <f t="shared" si="16"/>
        <v>D 5000</v>
      </c>
      <c r="G320">
        <v>45000</v>
      </c>
      <c r="H320" t="s">
        <v>20</v>
      </c>
      <c r="I320" t="str">
        <f t="shared" si="17"/>
        <v>Dimsum Ayam Jamur = 15000</v>
      </c>
      <c r="J320">
        <f t="shared" si="18"/>
        <v>17</v>
      </c>
      <c r="K320" t="str">
        <f t="shared" si="19"/>
        <v>Dimsum Ayam Jamur</v>
      </c>
    </row>
    <row r="321" spans="1:11" x14ac:dyDescent="0.25">
      <c r="A321" s="1" t="s">
        <v>67</v>
      </c>
      <c r="B321" t="s">
        <v>16</v>
      </c>
      <c r="C321" t="s">
        <v>9</v>
      </c>
      <c r="D321">
        <v>8</v>
      </c>
      <c r="E321">
        <v>15000</v>
      </c>
      <c r="F321" t="str">
        <f t="shared" si="16"/>
        <v>D 20000</v>
      </c>
      <c r="G321">
        <v>120000</v>
      </c>
      <c r="H321" t="s">
        <v>18</v>
      </c>
      <c r="I321" t="str">
        <f t="shared" si="17"/>
        <v>Dimsum Ayam Jamur = 15000</v>
      </c>
      <c r="J321">
        <f t="shared" si="18"/>
        <v>17</v>
      </c>
      <c r="K321" t="str">
        <f t="shared" si="19"/>
        <v>Dimsum Ayam Jamur</v>
      </c>
    </row>
    <row r="322" spans="1:11" x14ac:dyDescent="0.25">
      <c r="A322" s="1" t="s">
        <v>84</v>
      </c>
      <c r="B322" t="s">
        <v>22</v>
      </c>
      <c r="C322" t="s">
        <v>9</v>
      </c>
      <c r="D322">
        <v>7</v>
      </c>
      <c r="E322">
        <v>15000</v>
      </c>
      <c r="F322" t="str">
        <f t="shared" si="16"/>
        <v>D 05000</v>
      </c>
      <c r="G322">
        <v>105000</v>
      </c>
      <c r="H322" t="s">
        <v>10</v>
      </c>
      <c r="I322" t="str">
        <f t="shared" si="17"/>
        <v>Dimsum Nori = 15000</v>
      </c>
      <c r="J322">
        <f t="shared" si="18"/>
        <v>11</v>
      </c>
      <c r="K322" t="str">
        <f t="shared" si="19"/>
        <v>Dimsum Nori</v>
      </c>
    </row>
    <row r="323" spans="1:11" x14ac:dyDescent="0.25">
      <c r="A323" s="1" t="s">
        <v>59</v>
      </c>
      <c r="B323" t="s">
        <v>22</v>
      </c>
      <c r="C323" t="s">
        <v>9</v>
      </c>
      <c r="D323">
        <v>11</v>
      </c>
      <c r="E323">
        <v>20000</v>
      </c>
      <c r="F323" t="str">
        <f t="shared" ref="F323:F386" si="20">REPLACE(G323,1,1,"D ")</f>
        <v>D 20000</v>
      </c>
      <c r="G323">
        <v>220000</v>
      </c>
      <c r="H323" t="s">
        <v>10</v>
      </c>
      <c r="I323" t="str">
        <f t="shared" ref="I323:I386" si="21">CONCATENATE(B323, " = ", E323)</f>
        <v>Dimsum Nori = 20000</v>
      </c>
      <c r="J323">
        <f t="shared" ref="J323:J386" si="22">LEN(B323)</f>
        <v>11</v>
      </c>
      <c r="K323" t="str">
        <f t="shared" ref="K323:K386" si="23">TRIM(B323)</f>
        <v>Dimsum Nori</v>
      </c>
    </row>
    <row r="324" spans="1:11" x14ac:dyDescent="0.25">
      <c r="A324" s="1" t="s">
        <v>84</v>
      </c>
      <c r="B324" t="s">
        <v>26</v>
      </c>
      <c r="C324" t="s">
        <v>9</v>
      </c>
      <c r="D324">
        <v>12</v>
      </c>
      <c r="E324">
        <v>15000</v>
      </c>
      <c r="F324" t="str">
        <f t="shared" si="20"/>
        <v>D 80000</v>
      </c>
      <c r="G324">
        <v>180000</v>
      </c>
      <c r="H324" t="s">
        <v>13</v>
      </c>
      <c r="I324" t="str">
        <f t="shared" si="21"/>
        <v>Dimsum Kepiting = 15000</v>
      </c>
      <c r="J324">
        <f t="shared" si="22"/>
        <v>15</v>
      </c>
      <c r="K324" t="str">
        <f t="shared" si="23"/>
        <v>Dimsum Kepiting</v>
      </c>
    </row>
    <row r="325" spans="1:11" x14ac:dyDescent="0.25">
      <c r="A325" s="1" t="s">
        <v>88</v>
      </c>
      <c r="B325" t="s">
        <v>8</v>
      </c>
      <c r="C325" t="s">
        <v>9</v>
      </c>
      <c r="D325">
        <v>9</v>
      </c>
      <c r="E325">
        <v>12000</v>
      </c>
      <c r="F325" t="str">
        <f t="shared" si="20"/>
        <v>D 08000</v>
      </c>
      <c r="G325">
        <v>108000</v>
      </c>
      <c r="H325" t="s">
        <v>13</v>
      </c>
      <c r="I325" t="str">
        <f t="shared" si="21"/>
        <v>Dimsum Ayam = 12000</v>
      </c>
      <c r="J325">
        <f t="shared" si="22"/>
        <v>11</v>
      </c>
      <c r="K325" t="str">
        <f t="shared" si="23"/>
        <v>Dimsum Ayam</v>
      </c>
    </row>
    <row r="326" spans="1:11" x14ac:dyDescent="0.25">
      <c r="A326" s="1" t="s">
        <v>36</v>
      </c>
      <c r="B326" t="s">
        <v>22</v>
      </c>
      <c r="C326" t="s">
        <v>9</v>
      </c>
      <c r="D326">
        <v>15</v>
      </c>
      <c r="E326">
        <v>20000</v>
      </c>
      <c r="F326" t="str">
        <f t="shared" si="20"/>
        <v>D 00000</v>
      </c>
      <c r="G326">
        <v>300000</v>
      </c>
      <c r="H326" t="s">
        <v>20</v>
      </c>
      <c r="I326" t="str">
        <f t="shared" si="21"/>
        <v>Dimsum Nori = 20000</v>
      </c>
      <c r="J326">
        <f t="shared" si="22"/>
        <v>11</v>
      </c>
      <c r="K326" t="str">
        <f t="shared" si="23"/>
        <v>Dimsum Nori</v>
      </c>
    </row>
    <row r="327" spans="1:11" x14ac:dyDescent="0.25">
      <c r="A327" s="1" t="s">
        <v>100</v>
      </c>
      <c r="B327" t="s">
        <v>12</v>
      </c>
      <c r="C327" t="s">
        <v>9</v>
      </c>
      <c r="D327">
        <v>6</v>
      </c>
      <c r="E327">
        <v>18000</v>
      </c>
      <c r="F327" t="str">
        <f t="shared" si="20"/>
        <v>D 08000</v>
      </c>
      <c r="G327">
        <v>108000</v>
      </c>
      <c r="H327" t="s">
        <v>10</v>
      </c>
      <c r="I327" t="str">
        <f t="shared" si="21"/>
        <v>Dimsum Udang = 18000</v>
      </c>
      <c r="J327">
        <f t="shared" si="22"/>
        <v>12</v>
      </c>
      <c r="K327" t="str">
        <f t="shared" si="23"/>
        <v>Dimsum Udang</v>
      </c>
    </row>
    <row r="328" spans="1:11" x14ac:dyDescent="0.25">
      <c r="A328" s="1" t="s">
        <v>36</v>
      </c>
      <c r="B328" t="s">
        <v>12</v>
      </c>
      <c r="C328" t="s">
        <v>9</v>
      </c>
      <c r="D328">
        <v>4</v>
      </c>
      <c r="E328">
        <v>12000</v>
      </c>
      <c r="F328" t="str">
        <f t="shared" si="20"/>
        <v>D 8000</v>
      </c>
      <c r="G328">
        <v>48000</v>
      </c>
      <c r="H328" t="s">
        <v>13</v>
      </c>
      <c r="I328" t="str">
        <f t="shared" si="21"/>
        <v>Dimsum Udang = 12000</v>
      </c>
      <c r="J328">
        <f t="shared" si="22"/>
        <v>12</v>
      </c>
      <c r="K328" t="str">
        <f t="shared" si="23"/>
        <v>Dimsum Udang</v>
      </c>
    </row>
    <row r="329" spans="1:11" x14ac:dyDescent="0.25">
      <c r="A329" s="1" t="s">
        <v>67</v>
      </c>
      <c r="B329" t="s">
        <v>16</v>
      </c>
      <c r="C329" t="s">
        <v>9</v>
      </c>
      <c r="D329">
        <v>2</v>
      </c>
      <c r="E329">
        <v>12000</v>
      </c>
      <c r="F329" t="str">
        <f t="shared" si="20"/>
        <v>D 4000</v>
      </c>
      <c r="G329">
        <v>24000</v>
      </c>
      <c r="H329" t="s">
        <v>13</v>
      </c>
      <c r="I329" t="str">
        <f t="shared" si="21"/>
        <v>Dimsum Ayam Jamur = 12000</v>
      </c>
      <c r="J329">
        <f t="shared" si="22"/>
        <v>17</v>
      </c>
      <c r="K329" t="str">
        <f t="shared" si="23"/>
        <v>Dimsum Ayam Jamur</v>
      </c>
    </row>
    <row r="330" spans="1:11" x14ac:dyDescent="0.25">
      <c r="A330" s="1" t="s">
        <v>105</v>
      </c>
      <c r="B330" t="s">
        <v>26</v>
      </c>
      <c r="C330" t="s">
        <v>9</v>
      </c>
      <c r="D330">
        <v>20</v>
      </c>
      <c r="E330">
        <v>18000</v>
      </c>
      <c r="F330" t="str">
        <f t="shared" si="20"/>
        <v>D 60000</v>
      </c>
      <c r="G330">
        <v>360000</v>
      </c>
      <c r="H330" t="s">
        <v>10</v>
      </c>
      <c r="I330" t="str">
        <f t="shared" si="21"/>
        <v>Dimsum Kepiting = 18000</v>
      </c>
      <c r="J330">
        <f t="shared" si="22"/>
        <v>15</v>
      </c>
      <c r="K330" t="str">
        <f t="shared" si="23"/>
        <v>Dimsum Kepiting</v>
      </c>
    </row>
    <row r="331" spans="1:11" x14ac:dyDescent="0.25">
      <c r="A331" s="1" t="s">
        <v>15</v>
      </c>
      <c r="B331" t="s">
        <v>26</v>
      </c>
      <c r="C331" t="s">
        <v>9</v>
      </c>
      <c r="D331">
        <v>9</v>
      </c>
      <c r="E331">
        <v>18000</v>
      </c>
      <c r="F331" t="str">
        <f t="shared" si="20"/>
        <v>D 62000</v>
      </c>
      <c r="G331">
        <v>162000</v>
      </c>
      <c r="H331" t="s">
        <v>20</v>
      </c>
      <c r="I331" t="str">
        <f t="shared" si="21"/>
        <v>Dimsum Kepiting = 18000</v>
      </c>
      <c r="J331">
        <f t="shared" si="22"/>
        <v>15</v>
      </c>
      <c r="K331" t="str">
        <f t="shared" si="23"/>
        <v>Dimsum Kepiting</v>
      </c>
    </row>
    <row r="332" spans="1:11" x14ac:dyDescent="0.25">
      <c r="A332" s="1" t="s">
        <v>66</v>
      </c>
      <c r="B332" t="s">
        <v>16</v>
      </c>
      <c r="C332" t="s">
        <v>9</v>
      </c>
      <c r="D332">
        <v>11</v>
      </c>
      <c r="E332">
        <v>15000</v>
      </c>
      <c r="F332" t="str">
        <f t="shared" si="20"/>
        <v>D 65000</v>
      </c>
      <c r="G332">
        <v>165000</v>
      </c>
      <c r="H332" t="s">
        <v>18</v>
      </c>
      <c r="I332" t="str">
        <f t="shared" si="21"/>
        <v>Dimsum Ayam Jamur = 15000</v>
      </c>
      <c r="J332">
        <f t="shared" si="22"/>
        <v>17</v>
      </c>
      <c r="K332" t="str">
        <f t="shared" si="23"/>
        <v>Dimsum Ayam Jamur</v>
      </c>
    </row>
    <row r="333" spans="1:11" x14ac:dyDescent="0.25">
      <c r="A333" s="1" t="s">
        <v>50</v>
      </c>
      <c r="B333" t="s">
        <v>12</v>
      </c>
      <c r="C333" t="s">
        <v>9</v>
      </c>
      <c r="D333">
        <v>16</v>
      </c>
      <c r="E333">
        <v>15000</v>
      </c>
      <c r="F333" t="str">
        <f t="shared" si="20"/>
        <v>D 40000</v>
      </c>
      <c r="G333">
        <v>240000</v>
      </c>
      <c r="H333" t="s">
        <v>18</v>
      </c>
      <c r="I333" t="str">
        <f t="shared" si="21"/>
        <v>Dimsum Udang = 15000</v>
      </c>
      <c r="J333">
        <f t="shared" si="22"/>
        <v>12</v>
      </c>
      <c r="K333" t="str">
        <f t="shared" si="23"/>
        <v>Dimsum Udang</v>
      </c>
    </row>
    <row r="334" spans="1:11" x14ac:dyDescent="0.25">
      <c r="A334" s="1" t="s">
        <v>71</v>
      </c>
      <c r="B334" t="s">
        <v>16</v>
      </c>
      <c r="C334" t="s">
        <v>9</v>
      </c>
      <c r="D334">
        <v>7</v>
      </c>
      <c r="E334">
        <v>15000</v>
      </c>
      <c r="F334" t="str">
        <f t="shared" si="20"/>
        <v>D 05000</v>
      </c>
      <c r="G334">
        <v>105000</v>
      </c>
      <c r="H334" t="s">
        <v>13</v>
      </c>
      <c r="I334" t="str">
        <f t="shared" si="21"/>
        <v>Dimsum Ayam Jamur = 15000</v>
      </c>
      <c r="J334">
        <f t="shared" si="22"/>
        <v>17</v>
      </c>
      <c r="K334" t="str">
        <f t="shared" si="23"/>
        <v>Dimsum Ayam Jamur</v>
      </c>
    </row>
    <row r="335" spans="1:11" x14ac:dyDescent="0.25">
      <c r="A335" s="1" t="s">
        <v>60</v>
      </c>
      <c r="B335" t="s">
        <v>8</v>
      </c>
      <c r="C335" t="s">
        <v>9</v>
      </c>
      <c r="D335">
        <v>19</v>
      </c>
      <c r="E335">
        <v>12000</v>
      </c>
      <c r="F335" t="str">
        <f t="shared" si="20"/>
        <v>D 28000</v>
      </c>
      <c r="G335">
        <v>228000</v>
      </c>
      <c r="H335" t="s">
        <v>18</v>
      </c>
      <c r="I335" t="str">
        <f t="shared" si="21"/>
        <v>Dimsum Ayam = 12000</v>
      </c>
      <c r="J335">
        <f t="shared" si="22"/>
        <v>11</v>
      </c>
      <c r="K335" t="str">
        <f t="shared" si="23"/>
        <v>Dimsum Ayam</v>
      </c>
    </row>
    <row r="336" spans="1:11" x14ac:dyDescent="0.25">
      <c r="A336" s="1" t="s">
        <v>56</v>
      </c>
      <c r="B336" t="s">
        <v>26</v>
      </c>
      <c r="C336" t="s">
        <v>9</v>
      </c>
      <c r="D336">
        <v>5</v>
      </c>
      <c r="E336">
        <v>15000</v>
      </c>
      <c r="F336" t="str">
        <f t="shared" si="20"/>
        <v>D 5000</v>
      </c>
      <c r="G336">
        <v>75000</v>
      </c>
      <c r="H336" t="s">
        <v>10</v>
      </c>
      <c r="I336" t="str">
        <f t="shared" si="21"/>
        <v>Dimsum Kepiting = 15000</v>
      </c>
      <c r="J336">
        <f t="shared" si="22"/>
        <v>15</v>
      </c>
      <c r="K336" t="str">
        <f t="shared" si="23"/>
        <v>Dimsum Kepiting</v>
      </c>
    </row>
    <row r="337" spans="1:11" x14ac:dyDescent="0.25">
      <c r="A337" s="1" t="s">
        <v>56</v>
      </c>
      <c r="B337" t="s">
        <v>16</v>
      </c>
      <c r="C337" t="s">
        <v>9</v>
      </c>
      <c r="D337">
        <v>3</v>
      </c>
      <c r="E337">
        <v>18000</v>
      </c>
      <c r="F337" t="str">
        <f t="shared" si="20"/>
        <v>D 4000</v>
      </c>
      <c r="G337">
        <v>54000</v>
      </c>
      <c r="H337" t="s">
        <v>13</v>
      </c>
      <c r="I337" t="str">
        <f t="shared" si="21"/>
        <v>Dimsum Ayam Jamur = 18000</v>
      </c>
      <c r="J337">
        <f t="shared" si="22"/>
        <v>17</v>
      </c>
      <c r="K337" t="str">
        <f t="shared" si="23"/>
        <v>Dimsum Ayam Jamur</v>
      </c>
    </row>
    <row r="338" spans="1:11" x14ac:dyDescent="0.25">
      <c r="A338" s="1" t="s">
        <v>7</v>
      </c>
      <c r="B338" t="s">
        <v>16</v>
      </c>
      <c r="C338" t="s">
        <v>9</v>
      </c>
      <c r="D338">
        <v>15</v>
      </c>
      <c r="E338">
        <v>15000</v>
      </c>
      <c r="F338" t="str">
        <f t="shared" si="20"/>
        <v>D 25000</v>
      </c>
      <c r="G338">
        <v>225000</v>
      </c>
      <c r="H338" t="s">
        <v>13</v>
      </c>
      <c r="I338" t="str">
        <f t="shared" si="21"/>
        <v>Dimsum Ayam Jamur = 15000</v>
      </c>
      <c r="J338">
        <f t="shared" si="22"/>
        <v>17</v>
      </c>
      <c r="K338" t="str">
        <f t="shared" si="23"/>
        <v>Dimsum Ayam Jamur</v>
      </c>
    </row>
    <row r="339" spans="1:11" x14ac:dyDescent="0.25">
      <c r="A339" s="1" t="s">
        <v>43</v>
      </c>
      <c r="B339" t="s">
        <v>12</v>
      </c>
      <c r="C339" t="s">
        <v>9</v>
      </c>
      <c r="D339">
        <v>7</v>
      </c>
      <c r="E339">
        <v>18000</v>
      </c>
      <c r="F339" t="str">
        <f t="shared" si="20"/>
        <v>D 26000</v>
      </c>
      <c r="G339">
        <v>126000</v>
      </c>
      <c r="H339" t="s">
        <v>13</v>
      </c>
      <c r="I339" t="str">
        <f t="shared" si="21"/>
        <v>Dimsum Udang = 18000</v>
      </c>
      <c r="J339">
        <f t="shared" si="22"/>
        <v>12</v>
      </c>
      <c r="K339" t="str">
        <f t="shared" si="23"/>
        <v>Dimsum Udang</v>
      </c>
    </row>
    <row r="340" spans="1:11" x14ac:dyDescent="0.25">
      <c r="A340" s="1" t="s">
        <v>82</v>
      </c>
      <c r="B340" t="s">
        <v>22</v>
      </c>
      <c r="C340" t="s">
        <v>9</v>
      </c>
      <c r="D340">
        <v>9</v>
      </c>
      <c r="E340">
        <v>20000</v>
      </c>
      <c r="F340" t="str">
        <f t="shared" si="20"/>
        <v>D 80000</v>
      </c>
      <c r="G340">
        <v>180000</v>
      </c>
      <c r="H340" t="s">
        <v>20</v>
      </c>
      <c r="I340" t="str">
        <f t="shared" si="21"/>
        <v>Dimsum Nori = 20000</v>
      </c>
      <c r="J340">
        <f t="shared" si="22"/>
        <v>11</v>
      </c>
      <c r="K340" t="str">
        <f t="shared" si="23"/>
        <v>Dimsum Nori</v>
      </c>
    </row>
    <row r="341" spans="1:11" x14ac:dyDescent="0.25">
      <c r="A341" s="1" t="s">
        <v>94</v>
      </c>
      <c r="B341" t="s">
        <v>16</v>
      </c>
      <c r="C341" t="s">
        <v>9</v>
      </c>
      <c r="D341">
        <v>5</v>
      </c>
      <c r="E341">
        <v>15000</v>
      </c>
      <c r="F341" t="str">
        <f t="shared" si="20"/>
        <v>D 5000</v>
      </c>
      <c r="G341">
        <v>75000</v>
      </c>
      <c r="H341" t="s">
        <v>20</v>
      </c>
      <c r="I341" t="str">
        <f t="shared" si="21"/>
        <v>Dimsum Ayam Jamur = 15000</v>
      </c>
      <c r="J341">
        <f t="shared" si="22"/>
        <v>17</v>
      </c>
      <c r="K341" t="str">
        <f t="shared" si="23"/>
        <v>Dimsum Ayam Jamur</v>
      </c>
    </row>
    <row r="342" spans="1:11" x14ac:dyDescent="0.25">
      <c r="A342" s="1" t="s">
        <v>61</v>
      </c>
      <c r="B342" t="s">
        <v>16</v>
      </c>
      <c r="C342" t="s">
        <v>9</v>
      </c>
      <c r="D342">
        <v>2</v>
      </c>
      <c r="E342">
        <v>15000</v>
      </c>
      <c r="F342" t="str">
        <f t="shared" si="20"/>
        <v>D 0000</v>
      </c>
      <c r="G342">
        <v>30000</v>
      </c>
      <c r="H342" t="s">
        <v>20</v>
      </c>
      <c r="I342" t="str">
        <f t="shared" si="21"/>
        <v>Dimsum Ayam Jamur = 15000</v>
      </c>
      <c r="J342">
        <f t="shared" si="22"/>
        <v>17</v>
      </c>
      <c r="K342" t="str">
        <f t="shared" si="23"/>
        <v>Dimsum Ayam Jamur</v>
      </c>
    </row>
    <row r="343" spans="1:11" x14ac:dyDescent="0.25">
      <c r="A343" s="1" t="s">
        <v>84</v>
      </c>
      <c r="B343" t="s">
        <v>12</v>
      </c>
      <c r="C343" t="s">
        <v>9</v>
      </c>
      <c r="D343">
        <v>19</v>
      </c>
      <c r="E343">
        <v>12000</v>
      </c>
      <c r="F343" t="str">
        <f t="shared" si="20"/>
        <v>D 28000</v>
      </c>
      <c r="G343">
        <v>228000</v>
      </c>
      <c r="H343" t="s">
        <v>13</v>
      </c>
      <c r="I343" t="str">
        <f t="shared" si="21"/>
        <v>Dimsum Udang = 12000</v>
      </c>
      <c r="J343">
        <f t="shared" si="22"/>
        <v>12</v>
      </c>
      <c r="K343" t="str">
        <f t="shared" si="23"/>
        <v>Dimsum Udang</v>
      </c>
    </row>
    <row r="344" spans="1:11" x14ac:dyDescent="0.25">
      <c r="A344" s="1" t="s">
        <v>47</v>
      </c>
      <c r="B344" t="s">
        <v>26</v>
      </c>
      <c r="C344" t="s">
        <v>9</v>
      </c>
      <c r="D344">
        <v>8</v>
      </c>
      <c r="E344">
        <v>20000</v>
      </c>
      <c r="F344" t="str">
        <f t="shared" si="20"/>
        <v>D 60000</v>
      </c>
      <c r="G344">
        <v>160000</v>
      </c>
      <c r="H344" t="s">
        <v>18</v>
      </c>
      <c r="I344" t="str">
        <f t="shared" si="21"/>
        <v>Dimsum Kepiting = 20000</v>
      </c>
      <c r="J344">
        <f t="shared" si="22"/>
        <v>15</v>
      </c>
      <c r="K344" t="str">
        <f t="shared" si="23"/>
        <v>Dimsum Kepiting</v>
      </c>
    </row>
    <row r="345" spans="1:11" x14ac:dyDescent="0.25">
      <c r="A345" s="1" t="s">
        <v>55</v>
      </c>
      <c r="B345" t="s">
        <v>26</v>
      </c>
      <c r="C345" t="s">
        <v>9</v>
      </c>
      <c r="D345">
        <v>13</v>
      </c>
      <c r="E345">
        <v>15000</v>
      </c>
      <c r="F345" t="str">
        <f t="shared" si="20"/>
        <v>D 95000</v>
      </c>
      <c r="G345">
        <v>195000</v>
      </c>
      <c r="H345" t="s">
        <v>13</v>
      </c>
      <c r="I345" t="str">
        <f t="shared" si="21"/>
        <v>Dimsum Kepiting = 15000</v>
      </c>
      <c r="J345">
        <f t="shared" si="22"/>
        <v>15</v>
      </c>
      <c r="K345" t="str">
        <f t="shared" si="23"/>
        <v>Dimsum Kepiting</v>
      </c>
    </row>
    <row r="346" spans="1:11" x14ac:dyDescent="0.25">
      <c r="A346" s="1" t="s">
        <v>69</v>
      </c>
      <c r="B346" t="s">
        <v>22</v>
      </c>
      <c r="C346" t="s">
        <v>9</v>
      </c>
      <c r="D346">
        <v>7</v>
      </c>
      <c r="E346">
        <v>20000</v>
      </c>
      <c r="F346" t="str">
        <f t="shared" si="20"/>
        <v>D 40000</v>
      </c>
      <c r="G346">
        <v>140000</v>
      </c>
      <c r="H346" t="s">
        <v>13</v>
      </c>
      <c r="I346" t="str">
        <f t="shared" si="21"/>
        <v>Dimsum Nori = 20000</v>
      </c>
      <c r="J346">
        <f t="shared" si="22"/>
        <v>11</v>
      </c>
      <c r="K346" t="str">
        <f t="shared" si="23"/>
        <v>Dimsum Nori</v>
      </c>
    </row>
    <row r="347" spans="1:11" x14ac:dyDescent="0.25">
      <c r="A347" s="1" t="s">
        <v>92</v>
      </c>
      <c r="B347" t="s">
        <v>8</v>
      </c>
      <c r="C347" t="s">
        <v>9</v>
      </c>
      <c r="D347">
        <v>10</v>
      </c>
      <c r="E347">
        <v>18000</v>
      </c>
      <c r="F347" t="str">
        <f t="shared" si="20"/>
        <v>D 80000</v>
      </c>
      <c r="G347">
        <v>180000</v>
      </c>
      <c r="H347" t="s">
        <v>18</v>
      </c>
      <c r="I347" t="str">
        <f t="shared" si="21"/>
        <v>Dimsum Ayam = 18000</v>
      </c>
      <c r="J347">
        <f t="shared" si="22"/>
        <v>11</v>
      </c>
      <c r="K347" t="str">
        <f t="shared" si="23"/>
        <v>Dimsum Ayam</v>
      </c>
    </row>
    <row r="348" spans="1:11" x14ac:dyDescent="0.25">
      <c r="A348" s="1" t="s">
        <v>37</v>
      </c>
      <c r="B348" t="s">
        <v>26</v>
      </c>
      <c r="C348" t="s">
        <v>9</v>
      </c>
      <c r="D348">
        <v>11</v>
      </c>
      <c r="E348">
        <v>20000</v>
      </c>
      <c r="F348" t="str">
        <f t="shared" si="20"/>
        <v>D 20000</v>
      </c>
      <c r="G348">
        <v>220000</v>
      </c>
      <c r="H348" t="s">
        <v>18</v>
      </c>
      <c r="I348" t="str">
        <f t="shared" si="21"/>
        <v>Dimsum Kepiting = 20000</v>
      </c>
      <c r="J348">
        <f t="shared" si="22"/>
        <v>15</v>
      </c>
      <c r="K348" t="str">
        <f t="shared" si="23"/>
        <v>Dimsum Kepiting</v>
      </c>
    </row>
    <row r="349" spans="1:11" x14ac:dyDescent="0.25">
      <c r="A349" s="1" t="s">
        <v>86</v>
      </c>
      <c r="B349" t="s">
        <v>12</v>
      </c>
      <c r="C349" t="s">
        <v>9</v>
      </c>
      <c r="D349">
        <v>15</v>
      </c>
      <c r="E349">
        <v>18000</v>
      </c>
      <c r="F349" t="str">
        <f t="shared" si="20"/>
        <v>D 70000</v>
      </c>
      <c r="G349">
        <v>270000</v>
      </c>
      <c r="H349" t="s">
        <v>20</v>
      </c>
      <c r="I349" t="str">
        <f t="shared" si="21"/>
        <v>Dimsum Udang = 18000</v>
      </c>
      <c r="J349">
        <f t="shared" si="22"/>
        <v>12</v>
      </c>
      <c r="K349" t="str">
        <f t="shared" si="23"/>
        <v>Dimsum Udang</v>
      </c>
    </row>
    <row r="350" spans="1:11" x14ac:dyDescent="0.25">
      <c r="A350" s="1" t="s">
        <v>105</v>
      </c>
      <c r="B350" t="s">
        <v>16</v>
      </c>
      <c r="C350" t="s">
        <v>9</v>
      </c>
      <c r="D350">
        <v>16</v>
      </c>
      <c r="E350">
        <v>20000</v>
      </c>
      <c r="F350" t="str">
        <f t="shared" si="20"/>
        <v>D 20000</v>
      </c>
      <c r="G350">
        <v>320000</v>
      </c>
      <c r="H350" t="s">
        <v>13</v>
      </c>
      <c r="I350" t="str">
        <f t="shared" si="21"/>
        <v>Dimsum Ayam Jamur = 20000</v>
      </c>
      <c r="J350">
        <f t="shared" si="22"/>
        <v>17</v>
      </c>
      <c r="K350" t="str">
        <f t="shared" si="23"/>
        <v>Dimsum Ayam Jamur</v>
      </c>
    </row>
    <row r="351" spans="1:11" x14ac:dyDescent="0.25">
      <c r="A351" s="1" t="s">
        <v>94</v>
      </c>
      <c r="B351" t="s">
        <v>8</v>
      </c>
      <c r="C351" t="s">
        <v>9</v>
      </c>
      <c r="D351">
        <v>3</v>
      </c>
      <c r="E351">
        <v>12000</v>
      </c>
      <c r="F351" t="str">
        <f t="shared" si="20"/>
        <v>D 6000</v>
      </c>
      <c r="G351">
        <v>36000</v>
      </c>
      <c r="H351" t="s">
        <v>13</v>
      </c>
      <c r="I351" t="str">
        <f t="shared" si="21"/>
        <v>Dimsum Ayam = 12000</v>
      </c>
      <c r="J351">
        <f t="shared" si="22"/>
        <v>11</v>
      </c>
      <c r="K351" t="str">
        <f t="shared" si="23"/>
        <v>Dimsum Ayam</v>
      </c>
    </row>
    <row r="352" spans="1:11" x14ac:dyDescent="0.25">
      <c r="A352" s="1" t="s">
        <v>47</v>
      </c>
      <c r="B352" t="s">
        <v>22</v>
      </c>
      <c r="C352" t="s">
        <v>9</v>
      </c>
      <c r="D352">
        <v>11</v>
      </c>
      <c r="E352">
        <v>12000</v>
      </c>
      <c r="F352" t="str">
        <f t="shared" si="20"/>
        <v>D 32000</v>
      </c>
      <c r="G352">
        <v>132000</v>
      </c>
      <c r="H352" t="s">
        <v>13</v>
      </c>
      <c r="I352" t="str">
        <f t="shared" si="21"/>
        <v>Dimsum Nori = 12000</v>
      </c>
      <c r="J352">
        <f t="shared" si="22"/>
        <v>11</v>
      </c>
      <c r="K352" t="str">
        <f t="shared" si="23"/>
        <v>Dimsum Nori</v>
      </c>
    </row>
    <row r="353" spans="1:11" x14ac:dyDescent="0.25">
      <c r="A353" s="1" t="s">
        <v>96</v>
      </c>
      <c r="B353" t="s">
        <v>12</v>
      </c>
      <c r="C353" t="s">
        <v>9</v>
      </c>
      <c r="D353">
        <v>3</v>
      </c>
      <c r="E353">
        <v>15000</v>
      </c>
      <c r="F353" t="str">
        <f t="shared" si="20"/>
        <v>D 5000</v>
      </c>
      <c r="G353">
        <v>45000</v>
      </c>
      <c r="H353" t="s">
        <v>20</v>
      </c>
      <c r="I353" t="str">
        <f t="shared" si="21"/>
        <v>Dimsum Udang = 15000</v>
      </c>
      <c r="J353">
        <f t="shared" si="22"/>
        <v>12</v>
      </c>
      <c r="K353" t="str">
        <f t="shared" si="23"/>
        <v>Dimsum Udang</v>
      </c>
    </row>
    <row r="354" spans="1:11" x14ac:dyDescent="0.25">
      <c r="A354" s="1" t="s">
        <v>101</v>
      </c>
      <c r="B354" t="s">
        <v>8</v>
      </c>
      <c r="C354" t="s">
        <v>9</v>
      </c>
      <c r="D354">
        <v>16</v>
      </c>
      <c r="E354">
        <v>20000</v>
      </c>
      <c r="F354" t="str">
        <f t="shared" si="20"/>
        <v>D 20000</v>
      </c>
      <c r="G354">
        <v>320000</v>
      </c>
      <c r="H354" t="s">
        <v>20</v>
      </c>
      <c r="I354" t="str">
        <f t="shared" si="21"/>
        <v>Dimsum Ayam = 20000</v>
      </c>
      <c r="J354">
        <f t="shared" si="22"/>
        <v>11</v>
      </c>
      <c r="K354" t="str">
        <f t="shared" si="23"/>
        <v>Dimsum Ayam</v>
      </c>
    </row>
    <row r="355" spans="1:11" x14ac:dyDescent="0.25">
      <c r="A355" s="1" t="s">
        <v>35</v>
      </c>
      <c r="B355" t="s">
        <v>16</v>
      </c>
      <c r="C355" t="s">
        <v>9</v>
      </c>
      <c r="D355">
        <v>11</v>
      </c>
      <c r="E355">
        <v>12000</v>
      </c>
      <c r="F355" t="str">
        <f t="shared" si="20"/>
        <v>D 32000</v>
      </c>
      <c r="G355">
        <v>132000</v>
      </c>
      <c r="H355" t="s">
        <v>10</v>
      </c>
      <c r="I355" t="str">
        <f t="shared" si="21"/>
        <v>Dimsum Ayam Jamur = 12000</v>
      </c>
      <c r="J355">
        <f t="shared" si="22"/>
        <v>17</v>
      </c>
      <c r="K355" t="str">
        <f t="shared" si="23"/>
        <v>Dimsum Ayam Jamur</v>
      </c>
    </row>
    <row r="356" spans="1:11" x14ac:dyDescent="0.25">
      <c r="A356" s="1" t="s">
        <v>54</v>
      </c>
      <c r="B356" t="s">
        <v>12</v>
      </c>
      <c r="C356" t="s">
        <v>9</v>
      </c>
      <c r="D356">
        <v>6</v>
      </c>
      <c r="E356">
        <v>12000</v>
      </c>
      <c r="F356" t="str">
        <f t="shared" si="20"/>
        <v>D 2000</v>
      </c>
      <c r="G356">
        <v>72000</v>
      </c>
      <c r="H356" t="s">
        <v>13</v>
      </c>
      <c r="I356" t="str">
        <f t="shared" si="21"/>
        <v>Dimsum Udang = 12000</v>
      </c>
      <c r="J356">
        <f t="shared" si="22"/>
        <v>12</v>
      </c>
      <c r="K356" t="str">
        <f t="shared" si="23"/>
        <v>Dimsum Udang</v>
      </c>
    </row>
    <row r="357" spans="1:11" x14ac:dyDescent="0.25">
      <c r="A357" s="1" t="s">
        <v>23</v>
      </c>
      <c r="B357" t="s">
        <v>16</v>
      </c>
      <c r="C357" t="s">
        <v>9</v>
      </c>
      <c r="D357">
        <v>6</v>
      </c>
      <c r="E357">
        <v>20000</v>
      </c>
      <c r="F357" t="str">
        <f t="shared" si="20"/>
        <v>D 20000</v>
      </c>
      <c r="G357">
        <v>120000</v>
      </c>
      <c r="H357" t="s">
        <v>10</v>
      </c>
      <c r="I357" t="str">
        <f t="shared" si="21"/>
        <v>Dimsum Ayam Jamur = 20000</v>
      </c>
      <c r="J357">
        <f t="shared" si="22"/>
        <v>17</v>
      </c>
      <c r="K357" t="str">
        <f t="shared" si="23"/>
        <v>Dimsum Ayam Jamur</v>
      </c>
    </row>
    <row r="358" spans="1:11" x14ac:dyDescent="0.25">
      <c r="A358" s="1" t="s">
        <v>55</v>
      </c>
      <c r="B358" t="s">
        <v>12</v>
      </c>
      <c r="C358" t="s">
        <v>9</v>
      </c>
      <c r="D358">
        <v>16</v>
      </c>
      <c r="E358">
        <v>18000</v>
      </c>
      <c r="F358" t="str">
        <f t="shared" si="20"/>
        <v>D 88000</v>
      </c>
      <c r="G358">
        <v>288000</v>
      </c>
      <c r="H358" t="s">
        <v>20</v>
      </c>
      <c r="I358" t="str">
        <f t="shared" si="21"/>
        <v>Dimsum Udang = 18000</v>
      </c>
      <c r="J358">
        <f t="shared" si="22"/>
        <v>12</v>
      </c>
      <c r="K358" t="str">
        <f t="shared" si="23"/>
        <v>Dimsum Udang</v>
      </c>
    </row>
    <row r="359" spans="1:11" x14ac:dyDescent="0.25">
      <c r="A359" s="1" t="s">
        <v>50</v>
      </c>
      <c r="B359" t="s">
        <v>22</v>
      </c>
      <c r="C359" t="s">
        <v>9</v>
      </c>
      <c r="D359">
        <v>7</v>
      </c>
      <c r="E359">
        <v>18000</v>
      </c>
      <c r="F359" t="str">
        <f t="shared" si="20"/>
        <v>D 26000</v>
      </c>
      <c r="G359">
        <v>126000</v>
      </c>
      <c r="H359" t="s">
        <v>10</v>
      </c>
      <c r="I359" t="str">
        <f t="shared" si="21"/>
        <v>Dimsum Nori = 18000</v>
      </c>
      <c r="J359">
        <f t="shared" si="22"/>
        <v>11</v>
      </c>
      <c r="K359" t="str">
        <f t="shared" si="23"/>
        <v>Dimsum Nori</v>
      </c>
    </row>
    <row r="360" spans="1:11" x14ac:dyDescent="0.25">
      <c r="A360" s="1" t="s">
        <v>42</v>
      </c>
      <c r="B360" t="s">
        <v>8</v>
      </c>
      <c r="C360" t="s">
        <v>9</v>
      </c>
      <c r="D360">
        <v>15</v>
      </c>
      <c r="E360">
        <v>12000</v>
      </c>
      <c r="F360" t="str">
        <f t="shared" si="20"/>
        <v>D 80000</v>
      </c>
      <c r="G360">
        <v>180000</v>
      </c>
      <c r="H360" t="s">
        <v>20</v>
      </c>
      <c r="I360" t="str">
        <f t="shared" si="21"/>
        <v>Dimsum Ayam = 12000</v>
      </c>
      <c r="J360">
        <f t="shared" si="22"/>
        <v>11</v>
      </c>
      <c r="K360" t="str">
        <f t="shared" si="23"/>
        <v>Dimsum Ayam</v>
      </c>
    </row>
    <row r="361" spans="1:11" x14ac:dyDescent="0.25">
      <c r="A361" s="1" t="s">
        <v>65</v>
      </c>
      <c r="B361" t="s">
        <v>16</v>
      </c>
      <c r="C361" t="s">
        <v>9</v>
      </c>
      <c r="D361">
        <v>14</v>
      </c>
      <c r="E361">
        <v>20000</v>
      </c>
      <c r="F361" t="str">
        <f t="shared" si="20"/>
        <v>D 80000</v>
      </c>
      <c r="G361">
        <v>280000</v>
      </c>
      <c r="H361" t="s">
        <v>18</v>
      </c>
      <c r="I361" t="str">
        <f t="shared" si="21"/>
        <v>Dimsum Ayam Jamur = 20000</v>
      </c>
      <c r="J361">
        <f t="shared" si="22"/>
        <v>17</v>
      </c>
      <c r="K361" t="str">
        <f t="shared" si="23"/>
        <v>Dimsum Ayam Jamur</v>
      </c>
    </row>
    <row r="362" spans="1:11" x14ac:dyDescent="0.25">
      <c r="A362" s="1" t="s">
        <v>17</v>
      </c>
      <c r="B362" t="s">
        <v>26</v>
      </c>
      <c r="C362" t="s">
        <v>9</v>
      </c>
      <c r="D362">
        <v>18</v>
      </c>
      <c r="E362">
        <v>15000</v>
      </c>
      <c r="F362" t="str">
        <f t="shared" si="20"/>
        <v>D 70000</v>
      </c>
      <c r="G362">
        <v>270000</v>
      </c>
      <c r="H362" t="s">
        <v>20</v>
      </c>
      <c r="I362" t="str">
        <f t="shared" si="21"/>
        <v>Dimsum Kepiting = 15000</v>
      </c>
      <c r="J362">
        <f t="shared" si="22"/>
        <v>15</v>
      </c>
      <c r="K362" t="str">
        <f t="shared" si="23"/>
        <v>Dimsum Kepiting</v>
      </c>
    </row>
    <row r="363" spans="1:11" x14ac:dyDescent="0.25">
      <c r="A363" s="1" t="s">
        <v>79</v>
      </c>
      <c r="B363" t="s">
        <v>16</v>
      </c>
      <c r="C363" t="s">
        <v>9</v>
      </c>
      <c r="D363">
        <v>4</v>
      </c>
      <c r="E363">
        <v>12000</v>
      </c>
      <c r="F363" t="str">
        <f t="shared" si="20"/>
        <v>D 8000</v>
      </c>
      <c r="G363">
        <v>48000</v>
      </c>
      <c r="H363" t="s">
        <v>13</v>
      </c>
      <c r="I363" t="str">
        <f t="shared" si="21"/>
        <v>Dimsum Ayam Jamur = 12000</v>
      </c>
      <c r="J363">
        <f t="shared" si="22"/>
        <v>17</v>
      </c>
      <c r="K363" t="str">
        <f t="shared" si="23"/>
        <v>Dimsum Ayam Jamur</v>
      </c>
    </row>
    <row r="364" spans="1:11" x14ac:dyDescent="0.25">
      <c r="A364" s="1" t="s">
        <v>34</v>
      </c>
      <c r="B364" t="s">
        <v>8</v>
      </c>
      <c r="C364" t="s">
        <v>9</v>
      </c>
      <c r="D364">
        <v>12</v>
      </c>
      <c r="E364">
        <v>15000</v>
      </c>
      <c r="F364" t="str">
        <f t="shared" si="20"/>
        <v>D 80000</v>
      </c>
      <c r="G364">
        <v>180000</v>
      </c>
      <c r="H364" t="s">
        <v>18</v>
      </c>
      <c r="I364" t="str">
        <f t="shared" si="21"/>
        <v>Dimsum Ayam = 15000</v>
      </c>
      <c r="J364">
        <f t="shared" si="22"/>
        <v>11</v>
      </c>
      <c r="K364" t="str">
        <f t="shared" si="23"/>
        <v>Dimsum Ayam</v>
      </c>
    </row>
    <row r="365" spans="1:11" x14ac:dyDescent="0.25">
      <c r="A365" s="1" t="s">
        <v>68</v>
      </c>
      <c r="B365" t="s">
        <v>22</v>
      </c>
      <c r="C365" t="s">
        <v>9</v>
      </c>
      <c r="D365">
        <v>5</v>
      </c>
      <c r="E365">
        <v>15000</v>
      </c>
      <c r="F365" t="str">
        <f t="shared" si="20"/>
        <v>D 5000</v>
      </c>
      <c r="G365">
        <v>75000</v>
      </c>
      <c r="H365" t="s">
        <v>13</v>
      </c>
      <c r="I365" t="str">
        <f t="shared" si="21"/>
        <v>Dimsum Nori = 15000</v>
      </c>
      <c r="J365">
        <f t="shared" si="22"/>
        <v>11</v>
      </c>
      <c r="K365" t="str">
        <f t="shared" si="23"/>
        <v>Dimsum Nori</v>
      </c>
    </row>
    <row r="366" spans="1:11" x14ac:dyDescent="0.25">
      <c r="A366" s="1" t="s">
        <v>39</v>
      </c>
      <c r="B366" t="s">
        <v>8</v>
      </c>
      <c r="C366" t="s">
        <v>9</v>
      </c>
      <c r="D366">
        <v>9</v>
      </c>
      <c r="E366">
        <v>20000</v>
      </c>
      <c r="F366" t="str">
        <f t="shared" si="20"/>
        <v>D 80000</v>
      </c>
      <c r="G366">
        <v>180000</v>
      </c>
      <c r="H366" t="s">
        <v>20</v>
      </c>
      <c r="I366" t="str">
        <f t="shared" si="21"/>
        <v>Dimsum Ayam = 20000</v>
      </c>
      <c r="J366">
        <f t="shared" si="22"/>
        <v>11</v>
      </c>
      <c r="K366" t="str">
        <f t="shared" si="23"/>
        <v>Dimsum Ayam</v>
      </c>
    </row>
    <row r="367" spans="1:11" x14ac:dyDescent="0.25">
      <c r="A367" s="1" t="s">
        <v>62</v>
      </c>
      <c r="B367" t="s">
        <v>8</v>
      </c>
      <c r="C367" t="s">
        <v>9</v>
      </c>
      <c r="D367">
        <v>3</v>
      </c>
      <c r="E367">
        <v>12000</v>
      </c>
      <c r="F367" t="str">
        <f t="shared" si="20"/>
        <v>D 6000</v>
      </c>
      <c r="G367">
        <v>36000</v>
      </c>
      <c r="H367" t="s">
        <v>13</v>
      </c>
      <c r="I367" t="str">
        <f t="shared" si="21"/>
        <v>Dimsum Ayam = 12000</v>
      </c>
      <c r="J367">
        <f t="shared" si="22"/>
        <v>11</v>
      </c>
      <c r="K367" t="str">
        <f t="shared" si="23"/>
        <v>Dimsum Ayam</v>
      </c>
    </row>
    <row r="368" spans="1:11" x14ac:dyDescent="0.25">
      <c r="A368" s="1" t="s">
        <v>30</v>
      </c>
      <c r="B368" t="s">
        <v>8</v>
      </c>
      <c r="C368" t="s">
        <v>9</v>
      </c>
      <c r="D368">
        <v>3</v>
      </c>
      <c r="E368">
        <v>15000</v>
      </c>
      <c r="F368" t="str">
        <f t="shared" si="20"/>
        <v>D 5000</v>
      </c>
      <c r="G368">
        <v>45000</v>
      </c>
      <c r="H368" t="s">
        <v>20</v>
      </c>
      <c r="I368" t="str">
        <f t="shared" si="21"/>
        <v>Dimsum Ayam = 15000</v>
      </c>
      <c r="J368">
        <f t="shared" si="22"/>
        <v>11</v>
      </c>
      <c r="K368" t="str">
        <f t="shared" si="23"/>
        <v>Dimsum Ayam</v>
      </c>
    </row>
    <row r="369" spans="1:11" x14ac:dyDescent="0.25">
      <c r="A369" s="1" t="s">
        <v>60</v>
      </c>
      <c r="B369" t="s">
        <v>26</v>
      </c>
      <c r="C369" t="s">
        <v>9</v>
      </c>
      <c r="D369">
        <v>17</v>
      </c>
      <c r="E369">
        <v>15000</v>
      </c>
      <c r="F369" t="str">
        <f t="shared" si="20"/>
        <v>D 55000</v>
      </c>
      <c r="G369">
        <v>255000</v>
      </c>
      <c r="H369" t="s">
        <v>18</v>
      </c>
      <c r="I369" t="str">
        <f t="shared" si="21"/>
        <v>Dimsum Kepiting = 15000</v>
      </c>
      <c r="J369">
        <f t="shared" si="22"/>
        <v>15</v>
      </c>
      <c r="K369" t="str">
        <f t="shared" si="23"/>
        <v>Dimsum Kepiting</v>
      </c>
    </row>
    <row r="370" spans="1:11" x14ac:dyDescent="0.25">
      <c r="A370" s="1" t="s">
        <v>52</v>
      </c>
      <c r="B370" t="s">
        <v>12</v>
      </c>
      <c r="C370" t="s">
        <v>9</v>
      </c>
      <c r="D370">
        <v>12</v>
      </c>
      <c r="E370">
        <v>20000</v>
      </c>
      <c r="F370" t="str">
        <f t="shared" si="20"/>
        <v>D 40000</v>
      </c>
      <c r="G370">
        <v>240000</v>
      </c>
      <c r="H370" t="s">
        <v>20</v>
      </c>
      <c r="I370" t="str">
        <f t="shared" si="21"/>
        <v>Dimsum Udang = 20000</v>
      </c>
      <c r="J370">
        <f t="shared" si="22"/>
        <v>12</v>
      </c>
      <c r="K370" t="str">
        <f t="shared" si="23"/>
        <v>Dimsum Udang</v>
      </c>
    </row>
    <row r="371" spans="1:11" x14ac:dyDescent="0.25">
      <c r="A371" s="1" t="s">
        <v>66</v>
      </c>
      <c r="B371" t="s">
        <v>26</v>
      </c>
      <c r="C371" t="s">
        <v>9</v>
      </c>
      <c r="D371">
        <v>5</v>
      </c>
      <c r="E371">
        <v>12000</v>
      </c>
      <c r="F371" t="str">
        <f t="shared" si="20"/>
        <v>D 0000</v>
      </c>
      <c r="G371">
        <v>60000</v>
      </c>
      <c r="H371" t="s">
        <v>18</v>
      </c>
      <c r="I371" t="str">
        <f t="shared" si="21"/>
        <v>Dimsum Kepiting = 12000</v>
      </c>
      <c r="J371">
        <f t="shared" si="22"/>
        <v>15</v>
      </c>
      <c r="K371" t="str">
        <f t="shared" si="23"/>
        <v>Dimsum Kepiting</v>
      </c>
    </row>
    <row r="372" spans="1:11" x14ac:dyDescent="0.25">
      <c r="A372" s="1" t="s">
        <v>89</v>
      </c>
      <c r="B372" t="s">
        <v>8</v>
      </c>
      <c r="C372" t="s">
        <v>9</v>
      </c>
      <c r="D372">
        <v>7</v>
      </c>
      <c r="E372">
        <v>12000</v>
      </c>
      <c r="F372" t="str">
        <f t="shared" si="20"/>
        <v>D 4000</v>
      </c>
      <c r="G372">
        <v>84000</v>
      </c>
      <c r="H372" t="s">
        <v>10</v>
      </c>
      <c r="I372" t="str">
        <f t="shared" si="21"/>
        <v>Dimsum Ayam = 12000</v>
      </c>
      <c r="J372">
        <f t="shared" si="22"/>
        <v>11</v>
      </c>
      <c r="K372" t="str">
        <f t="shared" si="23"/>
        <v>Dimsum Ayam</v>
      </c>
    </row>
    <row r="373" spans="1:11" x14ac:dyDescent="0.25">
      <c r="A373" s="1" t="s">
        <v>48</v>
      </c>
      <c r="B373" t="s">
        <v>16</v>
      </c>
      <c r="C373" t="s">
        <v>9</v>
      </c>
      <c r="D373">
        <v>20</v>
      </c>
      <c r="E373">
        <v>15000</v>
      </c>
      <c r="F373" t="str">
        <f t="shared" si="20"/>
        <v>D 00000</v>
      </c>
      <c r="G373">
        <v>300000</v>
      </c>
      <c r="H373" t="s">
        <v>13</v>
      </c>
      <c r="I373" t="str">
        <f t="shared" si="21"/>
        <v>Dimsum Ayam Jamur = 15000</v>
      </c>
      <c r="J373">
        <f t="shared" si="22"/>
        <v>17</v>
      </c>
      <c r="K373" t="str">
        <f t="shared" si="23"/>
        <v>Dimsum Ayam Jamur</v>
      </c>
    </row>
    <row r="374" spans="1:11" x14ac:dyDescent="0.25">
      <c r="A374" s="1" t="s">
        <v>53</v>
      </c>
      <c r="B374" t="s">
        <v>22</v>
      </c>
      <c r="C374" t="s">
        <v>9</v>
      </c>
      <c r="D374">
        <v>5</v>
      </c>
      <c r="E374">
        <v>12000</v>
      </c>
      <c r="F374" t="str">
        <f t="shared" si="20"/>
        <v>D 0000</v>
      </c>
      <c r="G374">
        <v>60000</v>
      </c>
      <c r="H374" t="s">
        <v>13</v>
      </c>
      <c r="I374" t="str">
        <f t="shared" si="21"/>
        <v>Dimsum Nori = 12000</v>
      </c>
      <c r="J374">
        <f t="shared" si="22"/>
        <v>11</v>
      </c>
      <c r="K374" t="str">
        <f t="shared" si="23"/>
        <v>Dimsum Nori</v>
      </c>
    </row>
    <row r="375" spans="1:11" x14ac:dyDescent="0.25">
      <c r="A375" s="1" t="s">
        <v>40</v>
      </c>
      <c r="B375" t="s">
        <v>12</v>
      </c>
      <c r="C375" t="s">
        <v>9</v>
      </c>
      <c r="D375">
        <v>4</v>
      </c>
      <c r="E375">
        <v>18000</v>
      </c>
      <c r="F375" t="str">
        <f t="shared" si="20"/>
        <v>D 2000</v>
      </c>
      <c r="G375">
        <v>72000</v>
      </c>
      <c r="H375" t="s">
        <v>13</v>
      </c>
      <c r="I375" t="str">
        <f t="shared" si="21"/>
        <v>Dimsum Udang = 18000</v>
      </c>
      <c r="J375">
        <f t="shared" si="22"/>
        <v>12</v>
      </c>
      <c r="K375" t="str">
        <f t="shared" si="23"/>
        <v>Dimsum Udang</v>
      </c>
    </row>
    <row r="376" spans="1:11" x14ac:dyDescent="0.25">
      <c r="A376" s="1" t="s">
        <v>64</v>
      </c>
      <c r="B376" t="s">
        <v>12</v>
      </c>
      <c r="C376" t="s">
        <v>9</v>
      </c>
      <c r="D376">
        <v>7</v>
      </c>
      <c r="E376">
        <v>18000</v>
      </c>
      <c r="F376" t="str">
        <f t="shared" si="20"/>
        <v>D 26000</v>
      </c>
      <c r="G376">
        <v>126000</v>
      </c>
      <c r="H376" t="s">
        <v>13</v>
      </c>
      <c r="I376" t="str">
        <f t="shared" si="21"/>
        <v>Dimsum Udang = 18000</v>
      </c>
      <c r="J376">
        <f t="shared" si="22"/>
        <v>12</v>
      </c>
      <c r="K376" t="str">
        <f t="shared" si="23"/>
        <v>Dimsum Udang</v>
      </c>
    </row>
    <row r="377" spans="1:11" x14ac:dyDescent="0.25">
      <c r="A377" s="1" t="s">
        <v>60</v>
      </c>
      <c r="B377" t="s">
        <v>26</v>
      </c>
      <c r="C377" t="s">
        <v>9</v>
      </c>
      <c r="D377">
        <v>1</v>
      </c>
      <c r="E377">
        <v>15000</v>
      </c>
      <c r="F377" t="str">
        <f t="shared" si="20"/>
        <v>D 5000</v>
      </c>
      <c r="G377">
        <v>15000</v>
      </c>
      <c r="H377" t="s">
        <v>18</v>
      </c>
      <c r="I377" t="str">
        <f t="shared" si="21"/>
        <v>Dimsum Kepiting = 15000</v>
      </c>
      <c r="J377">
        <f t="shared" si="22"/>
        <v>15</v>
      </c>
      <c r="K377" t="str">
        <f t="shared" si="23"/>
        <v>Dimsum Kepiting</v>
      </c>
    </row>
    <row r="378" spans="1:11" x14ac:dyDescent="0.25">
      <c r="A378" s="1" t="s">
        <v>36</v>
      </c>
      <c r="B378" t="s">
        <v>16</v>
      </c>
      <c r="C378" t="s">
        <v>9</v>
      </c>
      <c r="D378">
        <v>9</v>
      </c>
      <c r="E378">
        <v>15000</v>
      </c>
      <c r="F378" t="str">
        <f t="shared" si="20"/>
        <v>D 35000</v>
      </c>
      <c r="G378">
        <v>135000</v>
      </c>
      <c r="H378" t="s">
        <v>20</v>
      </c>
      <c r="I378" t="str">
        <f t="shared" si="21"/>
        <v>Dimsum Ayam Jamur = 15000</v>
      </c>
      <c r="J378">
        <f t="shared" si="22"/>
        <v>17</v>
      </c>
      <c r="K378" t="str">
        <f t="shared" si="23"/>
        <v>Dimsum Ayam Jamur</v>
      </c>
    </row>
    <row r="379" spans="1:11" x14ac:dyDescent="0.25">
      <c r="A379" s="1" t="s">
        <v>82</v>
      </c>
      <c r="B379" t="s">
        <v>12</v>
      </c>
      <c r="C379" t="s">
        <v>9</v>
      </c>
      <c r="D379">
        <v>1</v>
      </c>
      <c r="E379">
        <v>20000</v>
      </c>
      <c r="F379" t="str">
        <f t="shared" si="20"/>
        <v>D 0000</v>
      </c>
      <c r="G379">
        <v>20000</v>
      </c>
      <c r="H379" t="s">
        <v>18</v>
      </c>
      <c r="I379" t="str">
        <f t="shared" si="21"/>
        <v>Dimsum Udang = 20000</v>
      </c>
      <c r="J379">
        <f t="shared" si="22"/>
        <v>12</v>
      </c>
      <c r="K379" t="str">
        <f t="shared" si="23"/>
        <v>Dimsum Udang</v>
      </c>
    </row>
    <row r="380" spans="1:11" x14ac:dyDescent="0.25">
      <c r="A380" s="1" t="s">
        <v>83</v>
      </c>
      <c r="B380" t="s">
        <v>8</v>
      </c>
      <c r="C380" t="s">
        <v>9</v>
      </c>
      <c r="D380">
        <v>5</v>
      </c>
      <c r="E380">
        <v>12000</v>
      </c>
      <c r="F380" t="str">
        <f t="shared" si="20"/>
        <v>D 0000</v>
      </c>
      <c r="G380">
        <v>60000</v>
      </c>
      <c r="H380" t="s">
        <v>18</v>
      </c>
      <c r="I380" t="str">
        <f t="shared" si="21"/>
        <v>Dimsum Ayam = 12000</v>
      </c>
      <c r="J380">
        <f t="shared" si="22"/>
        <v>11</v>
      </c>
      <c r="K380" t="str">
        <f t="shared" si="23"/>
        <v>Dimsum Ayam</v>
      </c>
    </row>
    <row r="381" spans="1:11" x14ac:dyDescent="0.25">
      <c r="A381" s="1" t="s">
        <v>106</v>
      </c>
      <c r="B381" t="s">
        <v>22</v>
      </c>
      <c r="C381" t="s">
        <v>9</v>
      </c>
      <c r="D381">
        <v>11</v>
      </c>
      <c r="E381">
        <v>20000</v>
      </c>
      <c r="F381" t="str">
        <f t="shared" si="20"/>
        <v>D 20000</v>
      </c>
      <c r="G381">
        <v>220000</v>
      </c>
      <c r="H381" t="s">
        <v>13</v>
      </c>
      <c r="I381" t="str">
        <f t="shared" si="21"/>
        <v>Dimsum Nori = 20000</v>
      </c>
      <c r="J381">
        <f t="shared" si="22"/>
        <v>11</v>
      </c>
      <c r="K381" t="str">
        <f t="shared" si="23"/>
        <v>Dimsum Nori</v>
      </c>
    </row>
    <row r="382" spans="1:11" x14ac:dyDescent="0.25">
      <c r="A382" s="1" t="s">
        <v>104</v>
      </c>
      <c r="B382" t="s">
        <v>12</v>
      </c>
      <c r="C382" t="s">
        <v>9</v>
      </c>
      <c r="D382">
        <v>19</v>
      </c>
      <c r="E382">
        <v>20000</v>
      </c>
      <c r="F382" t="str">
        <f t="shared" si="20"/>
        <v>D 80000</v>
      </c>
      <c r="G382">
        <v>380000</v>
      </c>
      <c r="H382" t="s">
        <v>13</v>
      </c>
      <c r="I382" t="str">
        <f t="shared" si="21"/>
        <v>Dimsum Udang = 20000</v>
      </c>
      <c r="J382">
        <f t="shared" si="22"/>
        <v>12</v>
      </c>
      <c r="K382" t="str">
        <f t="shared" si="23"/>
        <v>Dimsum Udang</v>
      </c>
    </row>
    <row r="383" spans="1:11" x14ac:dyDescent="0.25">
      <c r="A383" s="1" t="s">
        <v>36</v>
      </c>
      <c r="B383" t="s">
        <v>8</v>
      </c>
      <c r="C383" t="s">
        <v>9</v>
      </c>
      <c r="D383">
        <v>13</v>
      </c>
      <c r="E383">
        <v>12000</v>
      </c>
      <c r="F383" t="str">
        <f t="shared" si="20"/>
        <v>D 56000</v>
      </c>
      <c r="G383">
        <v>156000</v>
      </c>
      <c r="H383" t="s">
        <v>13</v>
      </c>
      <c r="I383" t="str">
        <f t="shared" si="21"/>
        <v>Dimsum Ayam = 12000</v>
      </c>
      <c r="J383">
        <f t="shared" si="22"/>
        <v>11</v>
      </c>
      <c r="K383" t="str">
        <f t="shared" si="23"/>
        <v>Dimsum Ayam</v>
      </c>
    </row>
    <row r="384" spans="1:11" x14ac:dyDescent="0.25">
      <c r="A384" s="1" t="s">
        <v>38</v>
      </c>
      <c r="B384" t="s">
        <v>16</v>
      </c>
      <c r="C384" t="s">
        <v>9</v>
      </c>
      <c r="D384">
        <v>8</v>
      </c>
      <c r="E384">
        <v>15000</v>
      </c>
      <c r="F384" t="str">
        <f t="shared" si="20"/>
        <v>D 20000</v>
      </c>
      <c r="G384">
        <v>120000</v>
      </c>
      <c r="H384" t="s">
        <v>10</v>
      </c>
      <c r="I384" t="str">
        <f t="shared" si="21"/>
        <v>Dimsum Ayam Jamur = 15000</v>
      </c>
      <c r="J384">
        <f t="shared" si="22"/>
        <v>17</v>
      </c>
      <c r="K384" t="str">
        <f t="shared" si="23"/>
        <v>Dimsum Ayam Jamur</v>
      </c>
    </row>
    <row r="385" spans="1:11" x14ac:dyDescent="0.25">
      <c r="A385" s="1" t="s">
        <v>47</v>
      </c>
      <c r="B385" t="s">
        <v>26</v>
      </c>
      <c r="C385" t="s">
        <v>9</v>
      </c>
      <c r="D385">
        <v>8</v>
      </c>
      <c r="E385">
        <v>18000</v>
      </c>
      <c r="F385" t="str">
        <f t="shared" si="20"/>
        <v>D 44000</v>
      </c>
      <c r="G385">
        <v>144000</v>
      </c>
      <c r="H385" t="s">
        <v>10</v>
      </c>
      <c r="I385" t="str">
        <f t="shared" si="21"/>
        <v>Dimsum Kepiting = 18000</v>
      </c>
      <c r="J385">
        <f t="shared" si="22"/>
        <v>15</v>
      </c>
      <c r="K385" t="str">
        <f t="shared" si="23"/>
        <v>Dimsum Kepiting</v>
      </c>
    </row>
    <row r="386" spans="1:11" x14ac:dyDescent="0.25">
      <c r="A386" s="1" t="s">
        <v>24</v>
      </c>
      <c r="B386" t="s">
        <v>26</v>
      </c>
      <c r="C386" t="s">
        <v>9</v>
      </c>
      <c r="D386">
        <v>16</v>
      </c>
      <c r="E386">
        <v>15000</v>
      </c>
      <c r="F386" t="str">
        <f t="shared" si="20"/>
        <v>D 40000</v>
      </c>
      <c r="G386">
        <v>240000</v>
      </c>
      <c r="H386" t="s">
        <v>20</v>
      </c>
      <c r="I386" t="str">
        <f t="shared" si="21"/>
        <v>Dimsum Kepiting = 15000</v>
      </c>
      <c r="J386">
        <f t="shared" si="22"/>
        <v>15</v>
      </c>
      <c r="K386" t="str">
        <f t="shared" si="23"/>
        <v>Dimsum Kepiting</v>
      </c>
    </row>
    <row r="387" spans="1:11" x14ac:dyDescent="0.25">
      <c r="A387" s="1" t="s">
        <v>87</v>
      </c>
      <c r="B387" t="s">
        <v>26</v>
      </c>
      <c r="C387" t="s">
        <v>9</v>
      </c>
      <c r="D387">
        <v>6</v>
      </c>
      <c r="E387">
        <v>15000</v>
      </c>
      <c r="F387" t="str">
        <f t="shared" ref="F387:F450" si="24">REPLACE(G387,1,1,"D ")</f>
        <v>D 0000</v>
      </c>
      <c r="G387">
        <v>90000</v>
      </c>
      <c r="H387" t="s">
        <v>18</v>
      </c>
      <c r="I387" t="str">
        <f t="shared" ref="I387:I450" si="25">CONCATENATE(B387, " = ", E387)</f>
        <v>Dimsum Kepiting = 15000</v>
      </c>
      <c r="J387">
        <f t="shared" ref="J387:J450" si="26">LEN(B387)</f>
        <v>15</v>
      </c>
      <c r="K387" t="str">
        <f t="shared" ref="K387:K450" si="27">TRIM(B387)</f>
        <v>Dimsum Kepiting</v>
      </c>
    </row>
    <row r="388" spans="1:11" x14ac:dyDescent="0.25">
      <c r="A388" s="1" t="s">
        <v>58</v>
      </c>
      <c r="B388" t="s">
        <v>12</v>
      </c>
      <c r="C388" t="s">
        <v>9</v>
      </c>
      <c r="D388">
        <v>4</v>
      </c>
      <c r="E388">
        <v>15000</v>
      </c>
      <c r="F388" t="str">
        <f t="shared" si="24"/>
        <v>D 0000</v>
      </c>
      <c r="G388">
        <v>60000</v>
      </c>
      <c r="H388" t="s">
        <v>20</v>
      </c>
      <c r="I388" t="str">
        <f t="shared" si="25"/>
        <v>Dimsum Udang = 15000</v>
      </c>
      <c r="J388">
        <f t="shared" si="26"/>
        <v>12</v>
      </c>
      <c r="K388" t="str">
        <f t="shared" si="27"/>
        <v>Dimsum Udang</v>
      </c>
    </row>
    <row r="389" spans="1:11" x14ac:dyDescent="0.25">
      <c r="A389" s="1" t="s">
        <v>19</v>
      </c>
      <c r="B389" t="s">
        <v>12</v>
      </c>
      <c r="C389" t="s">
        <v>9</v>
      </c>
      <c r="D389">
        <v>19</v>
      </c>
      <c r="E389">
        <v>15000</v>
      </c>
      <c r="F389" t="str">
        <f t="shared" si="24"/>
        <v>D 85000</v>
      </c>
      <c r="G389">
        <v>285000</v>
      </c>
      <c r="H389" t="s">
        <v>18</v>
      </c>
      <c r="I389" t="str">
        <f t="shared" si="25"/>
        <v>Dimsum Udang = 15000</v>
      </c>
      <c r="J389">
        <f t="shared" si="26"/>
        <v>12</v>
      </c>
      <c r="K389" t="str">
        <f t="shared" si="27"/>
        <v>Dimsum Udang</v>
      </c>
    </row>
    <row r="390" spans="1:11" x14ac:dyDescent="0.25">
      <c r="A390" s="1" t="s">
        <v>61</v>
      </c>
      <c r="B390" t="s">
        <v>16</v>
      </c>
      <c r="C390" t="s">
        <v>9</v>
      </c>
      <c r="D390">
        <v>10</v>
      </c>
      <c r="E390">
        <v>12000</v>
      </c>
      <c r="F390" t="str">
        <f t="shared" si="24"/>
        <v>D 20000</v>
      </c>
      <c r="G390">
        <v>120000</v>
      </c>
      <c r="H390" t="s">
        <v>18</v>
      </c>
      <c r="I390" t="str">
        <f t="shared" si="25"/>
        <v>Dimsum Ayam Jamur = 12000</v>
      </c>
      <c r="J390">
        <f t="shared" si="26"/>
        <v>17</v>
      </c>
      <c r="K390" t="str">
        <f t="shared" si="27"/>
        <v>Dimsum Ayam Jamur</v>
      </c>
    </row>
    <row r="391" spans="1:11" x14ac:dyDescent="0.25">
      <c r="A391" s="1" t="s">
        <v>69</v>
      </c>
      <c r="B391" t="s">
        <v>16</v>
      </c>
      <c r="C391" t="s">
        <v>9</v>
      </c>
      <c r="D391">
        <v>2</v>
      </c>
      <c r="E391">
        <v>15000</v>
      </c>
      <c r="F391" t="str">
        <f t="shared" si="24"/>
        <v>D 0000</v>
      </c>
      <c r="G391">
        <v>30000</v>
      </c>
      <c r="H391" t="s">
        <v>13</v>
      </c>
      <c r="I391" t="str">
        <f t="shared" si="25"/>
        <v>Dimsum Ayam Jamur = 15000</v>
      </c>
      <c r="J391">
        <f t="shared" si="26"/>
        <v>17</v>
      </c>
      <c r="K391" t="str">
        <f t="shared" si="27"/>
        <v>Dimsum Ayam Jamur</v>
      </c>
    </row>
    <row r="392" spans="1:11" x14ac:dyDescent="0.25">
      <c r="A392" s="1" t="s">
        <v>95</v>
      </c>
      <c r="B392" t="s">
        <v>16</v>
      </c>
      <c r="C392" t="s">
        <v>9</v>
      </c>
      <c r="D392">
        <v>3</v>
      </c>
      <c r="E392">
        <v>20000</v>
      </c>
      <c r="F392" t="str">
        <f t="shared" si="24"/>
        <v>D 0000</v>
      </c>
      <c r="G392">
        <v>60000</v>
      </c>
      <c r="H392" t="s">
        <v>20</v>
      </c>
      <c r="I392" t="str">
        <f t="shared" si="25"/>
        <v>Dimsum Ayam Jamur = 20000</v>
      </c>
      <c r="J392">
        <f t="shared" si="26"/>
        <v>17</v>
      </c>
      <c r="K392" t="str">
        <f t="shared" si="27"/>
        <v>Dimsum Ayam Jamur</v>
      </c>
    </row>
    <row r="393" spans="1:11" x14ac:dyDescent="0.25">
      <c r="A393" s="1" t="s">
        <v>42</v>
      </c>
      <c r="B393" t="s">
        <v>12</v>
      </c>
      <c r="C393" t="s">
        <v>9</v>
      </c>
      <c r="D393">
        <v>10</v>
      </c>
      <c r="E393">
        <v>12000</v>
      </c>
      <c r="F393" t="str">
        <f t="shared" si="24"/>
        <v>D 20000</v>
      </c>
      <c r="G393">
        <v>120000</v>
      </c>
      <c r="H393" t="s">
        <v>10</v>
      </c>
      <c r="I393" t="str">
        <f t="shared" si="25"/>
        <v>Dimsum Udang = 12000</v>
      </c>
      <c r="J393">
        <f t="shared" si="26"/>
        <v>12</v>
      </c>
      <c r="K393" t="str">
        <f t="shared" si="27"/>
        <v>Dimsum Udang</v>
      </c>
    </row>
    <row r="394" spans="1:11" x14ac:dyDescent="0.25">
      <c r="A394" s="1" t="s">
        <v>23</v>
      </c>
      <c r="B394" t="s">
        <v>22</v>
      </c>
      <c r="C394" t="s">
        <v>9</v>
      </c>
      <c r="D394">
        <v>7</v>
      </c>
      <c r="E394">
        <v>12000</v>
      </c>
      <c r="F394" t="str">
        <f t="shared" si="24"/>
        <v>D 4000</v>
      </c>
      <c r="G394">
        <v>84000</v>
      </c>
      <c r="H394" t="s">
        <v>10</v>
      </c>
      <c r="I394" t="str">
        <f t="shared" si="25"/>
        <v>Dimsum Nori = 12000</v>
      </c>
      <c r="J394">
        <f t="shared" si="26"/>
        <v>11</v>
      </c>
      <c r="K394" t="str">
        <f t="shared" si="27"/>
        <v>Dimsum Nori</v>
      </c>
    </row>
    <row r="395" spans="1:11" x14ac:dyDescent="0.25">
      <c r="A395" s="1" t="s">
        <v>19</v>
      </c>
      <c r="B395" t="s">
        <v>12</v>
      </c>
      <c r="C395" t="s">
        <v>9</v>
      </c>
      <c r="D395">
        <v>6</v>
      </c>
      <c r="E395">
        <v>18000</v>
      </c>
      <c r="F395" t="str">
        <f t="shared" si="24"/>
        <v>D 08000</v>
      </c>
      <c r="G395">
        <v>108000</v>
      </c>
      <c r="H395" t="s">
        <v>18</v>
      </c>
      <c r="I395" t="str">
        <f t="shared" si="25"/>
        <v>Dimsum Udang = 18000</v>
      </c>
      <c r="J395">
        <f t="shared" si="26"/>
        <v>12</v>
      </c>
      <c r="K395" t="str">
        <f t="shared" si="27"/>
        <v>Dimsum Udang</v>
      </c>
    </row>
    <row r="396" spans="1:11" x14ac:dyDescent="0.25">
      <c r="A396" s="1" t="s">
        <v>98</v>
      </c>
      <c r="B396" t="s">
        <v>12</v>
      </c>
      <c r="C396" t="s">
        <v>9</v>
      </c>
      <c r="D396">
        <v>9</v>
      </c>
      <c r="E396">
        <v>20000</v>
      </c>
      <c r="F396" t="str">
        <f t="shared" si="24"/>
        <v>D 80000</v>
      </c>
      <c r="G396">
        <v>180000</v>
      </c>
      <c r="H396" t="s">
        <v>10</v>
      </c>
      <c r="I396" t="str">
        <f t="shared" si="25"/>
        <v>Dimsum Udang = 20000</v>
      </c>
      <c r="J396">
        <f t="shared" si="26"/>
        <v>12</v>
      </c>
      <c r="K396" t="str">
        <f t="shared" si="27"/>
        <v>Dimsum Udang</v>
      </c>
    </row>
    <row r="397" spans="1:11" x14ac:dyDescent="0.25">
      <c r="A397" s="1" t="s">
        <v>98</v>
      </c>
      <c r="B397" t="s">
        <v>16</v>
      </c>
      <c r="C397" t="s">
        <v>9</v>
      </c>
      <c r="D397">
        <v>5</v>
      </c>
      <c r="E397">
        <v>18000</v>
      </c>
      <c r="F397" t="str">
        <f t="shared" si="24"/>
        <v>D 0000</v>
      </c>
      <c r="G397">
        <v>90000</v>
      </c>
      <c r="H397" t="s">
        <v>10</v>
      </c>
      <c r="I397" t="str">
        <f t="shared" si="25"/>
        <v>Dimsum Ayam Jamur = 18000</v>
      </c>
      <c r="J397">
        <f t="shared" si="26"/>
        <v>17</v>
      </c>
      <c r="K397" t="str">
        <f t="shared" si="27"/>
        <v>Dimsum Ayam Jamur</v>
      </c>
    </row>
    <row r="398" spans="1:11" x14ac:dyDescent="0.25">
      <c r="A398" s="1" t="s">
        <v>38</v>
      </c>
      <c r="B398" t="s">
        <v>8</v>
      </c>
      <c r="C398" t="s">
        <v>9</v>
      </c>
      <c r="D398">
        <v>6</v>
      </c>
      <c r="E398">
        <v>12000</v>
      </c>
      <c r="F398" t="str">
        <f t="shared" si="24"/>
        <v>D 2000</v>
      </c>
      <c r="G398">
        <v>72000</v>
      </c>
      <c r="H398" t="s">
        <v>13</v>
      </c>
      <c r="I398" t="str">
        <f t="shared" si="25"/>
        <v>Dimsum Ayam = 12000</v>
      </c>
      <c r="J398">
        <f t="shared" si="26"/>
        <v>11</v>
      </c>
      <c r="K398" t="str">
        <f t="shared" si="27"/>
        <v>Dimsum Ayam</v>
      </c>
    </row>
    <row r="399" spans="1:11" x14ac:dyDescent="0.25">
      <c r="A399" s="1" t="s">
        <v>94</v>
      </c>
      <c r="B399" t="s">
        <v>22</v>
      </c>
      <c r="C399" t="s">
        <v>9</v>
      </c>
      <c r="D399">
        <v>2</v>
      </c>
      <c r="E399">
        <v>18000</v>
      </c>
      <c r="F399" t="str">
        <f t="shared" si="24"/>
        <v>D 6000</v>
      </c>
      <c r="G399">
        <v>36000</v>
      </c>
      <c r="H399" t="s">
        <v>13</v>
      </c>
      <c r="I399" t="str">
        <f t="shared" si="25"/>
        <v>Dimsum Nori = 18000</v>
      </c>
      <c r="J399">
        <f t="shared" si="26"/>
        <v>11</v>
      </c>
      <c r="K399" t="str">
        <f t="shared" si="27"/>
        <v>Dimsum Nori</v>
      </c>
    </row>
    <row r="400" spans="1:11" x14ac:dyDescent="0.25">
      <c r="A400" s="1" t="s">
        <v>65</v>
      </c>
      <c r="B400" t="s">
        <v>26</v>
      </c>
      <c r="C400" t="s">
        <v>9</v>
      </c>
      <c r="D400">
        <v>12</v>
      </c>
      <c r="E400">
        <v>18000</v>
      </c>
      <c r="F400" t="str">
        <f t="shared" si="24"/>
        <v>D 16000</v>
      </c>
      <c r="G400">
        <v>216000</v>
      </c>
      <c r="H400" t="s">
        <v>10</v>
      </c>
      <c r="I400" t="str">
        <f t="shared" si="25"/>
        <v>Dimsum Kepiting = 18000</v>
      </c>
      <c r="J400">
        <f t="shared" si="26"/>
        <v>15</v>
      </c>
      <c r="K400" t="str">
        <f t="shared" si="27"/>
        <v>Dimsum Kepiting</v>
      </c>
    </row>
    <row r="401" spans="1:11" x14ac:dyDescent="0.25">
      <c r="A401" s="1" t="s">
        <v>47</v>
      </c>
      <c r="B401" t="s">
        <v>8</v>
      </c>
      <c r="C401" t="s">
        <v>9</v>
      </c>
      <c r="D401">
        <v>16</v>
      </c>
      <c r="E401">
        <v>20000</v>
      </c>
      <c r="F401" t="str">
        <f t="shared" si="24"/>
        <v>D 20000</v>
      </c>
      <c r="G401">
        <v>320000</v>
      </c>
      <c r="H401" t="s">
        <v>10</v>
      </c>
      <c r="I401" t="str">
        <f t="shared" si="25"/>
        <v>Dimsum Ayam = 20000</v>
      </c>
      <c r="J401">
        <f t="shared" si="26"/>
        <v>11</v>
      </c>
      <c r="K401" t="str">
        <f t="shared" si="27"/>
        <v>Dimsum Ayam</v>
      </c>
    </row>
    <row r="402" spans="1:11" x14ac:dyDescent="0.25">
      <c r="A402" s="1" t="s">
        <v>73</v>
      </c>
      <c r="B402" t="s">
        <v>22</v>
      </c>
      <c r="C402" t="s">
        <v>9</v>
      </c>
      <c r="D402">
        <v>3</v>
      </c>
      <c r="E402">
        <v>18000</v>
      </c>
      <c r="F402" t="str">
        <f t="shared" si="24"/>
        <v>D 4000</v>
      </c>
      <c r="G402">
        <v>54000</v>
      </c>
      <c r="H402" t="s">
        <v>13</v>
      </c>
      <c r="I402" t="str">
        <f t="shared" si="25"/>
        <v>Dimsum Nori = 18000</v>
      </c>
      <c r="J402">
        <f t="shared" si="26"/>
        <v>11</v>
      </c>
      <c r="K402" t="str">
        <f t="shared" si="27"/>
        <v>Dimsum Nori</v>
      </c>
    </row>
    <row r="403" spans="1:11" x14ac:dyDescent="0.25">
      <c r="A403" s="1" t="s">
        <v>28</v>
      </c>
      <c r="B403" t="s">
        <v>26</v>
      </c>
      <c r="C403" t="s">
        <v>9</v>
      </c>
      <c r="D403">
        <v>8</v>
      </c>
      <c r="E403">
        <v>18000</v>
      </c>
      <c r="F403" t="str">
        <f t="shared" si="24"/>
        <v>D 44000</v>
      </c>
      <c r="G403">
        <v>144000</v>
      </c>
      <c r="H403" t="s">
        <v>20</v>
      </c>
      <c r="I403" t="str">
        <f t="shared" si="25"/>
        <v>Dimsum Kepiting = 18000</v>
      </c>
      <c r="J403">
        <f t="shared" si="26"/>
        <v>15</v>
      </c>
      <c r="K403" t="str">
        <f t="shared" si="27"/>
        <v>Dimsum Kepiting</v>
      </c>
    </row>
    <row r="404" spans="1:11" x14ac:dyDescent="0.25">
      <c r="A404" s="1" t="s">
        <v>42</v>
      </c>
      <c r="B404" t="s">
        <v>22</v>
      </c>
      <c r="C404" t="s">
        <v>9</v>
      </c>
      <c r="D404">
        <v>16</v>
      </c>
      <c r="E404">
        <v>15000</v>
      </c>
      <c r="F404" t="str">
        <f t="shared" si="24"/>
        <v>D 40000</v>
      </c>
      <c r="G404">
        <v>240000</v>
      </c>
      <c r="H404" t="s">
        <v>10</v>
      </c>
      <c r="I404" t="str">
        <f t="shared" si="25"/>
        <v>Dimsum Nori = 15000</v>
      </c>
      <c r="J404">
        <f t="shared" si="26"/>
        <v>11</v>
      </c>
      <c r="K404" t="str">
        <f t="shared" si="27"/>
        <v>Dimsum Nori</v>
      </c>
    </row>
    <row r="405" spans="1:11" x14ac:dyDescent="0.25">
      <c r="A405" s="1" t="s">
        <v>86</v>
      </c>
      <c r="B405" t="s">
        <v>8</v>
      </c>
      <c r="C405" t="s">
        <v>9</v>
      </c>
      <c r="D405">
        <v>6</v>
      </c>
      <c r="E405">
        <v>18000</v>
      </c>
      <c r="F405" t="str">
        <f t="shared" si="24"/>
        <v>D 08000</v>
      </c>
      <c r="G405">
        <v>108000</v>
      </c>
      <c r="H405" t="s">
        <v>13</v>
      </c>
      <c r="I405" t="str">
        <f t="shared" si="25"/>
        <v>Dimsum Ayam = 18000</v>
      </c>
      <c r="J405">
        <f t="shared" si="26"/>
        <v>11</v>
      </c>
      <c r="K405" t="str">
        <f t="shared" si="27"/>
        <v>Dimsum Ayam</v>
      </c>
    </row>
    <row r="406" spans="1:11" x14ac:dyDescent="0.25">
      <c r="A406" s="1" t="s">
        <v>31</v>
      </c>
      <c r="B406" t="s">
        <v>22</v>
      </c>
      <c r="C406" t="s">
        <v>9</v>
      </c>
      <c r="D406">
        <v>1</v>
      </c>
      <c r="E406">
        <v>20000</v>
      </c>
      <c r="F406" t="str">
        <f t="shared" si="24"/>
        <v>D 0000</v>
      </c>
      <c r="G406">
        <v>20000</v>
      </c>
      <c r="H406" t="s">
        <v>10</v>
      </c>
      <c r="I406" t="str">
        <f t="shared" si="25"/>
        <v>Dimsum Nori = 20000</v>
      </c>
      <c r="J406">
        <f t="shared" si="26"/>
        <v>11</v>
      </c>
      <c r="K406" t="str">
        <f t="shared" si="27"/>
        <v>Dimsum Nori</v>
      </c>
    </row>
    <row r="407" spans="1:11" x14ac:dyDescent="0.25">
      <c r="A407" s="1" t="s">
        <v>25</v>
      </c>
      <c r="B407" t="s">
        <v>16</v>
      </c>
      <c r="C407" t="s">
        <v>9</v>
      </c>
      <c r="D407">
        <v>18</v>
      </c>
      <c r="E407">
        <v>18000</v>
      </c>
      <c r="F407" t="str">
        <f t="shared" si="24"/>
        <v>D 24000</v>
      </c>
      <c r="G407">
        <v>324000</v>
      </c>
      <c r="H407" t="s">
        <v>18</v>
      </c>
      <c r="I407" t="str">
        <f t="shared" si="25"/>
        <v>Dimsum Ayam Jamur = 18000</v>
      </c>
      <c r="J407">
        <f t="shared" si="26"/>
        <v>17</v>
      </c>
      <c r="K407" t="str">
        <f t="shared" si="27"/>
        <v>Dimsum Ayam Jamur</v>
      </c>
    </row>
    <row r="408" spans="1:11" x14ac:dyDescent="0.25">
      <c r="A408" s="1" t="s">
        <v>33</v>
      </c>
      <c r="B408" t="s">
        <v>12</v>
      </c>
      <c r="C408" t="s">
        <v>9</v>
      </c>
      <c r="D408">
        <v>19</v>
      </c>
      <c r="E408">
        <v>12000</v>
      </c>
      <c r="F408" t="str">
        <f t="shared" si="24"/>
        <v>D 28000</v>
      </c>
      <c r="G408">
        <v>228000</v>
      </c>
      <c r="H408" t="s">
        <v>18</v>
      </c>
      <c r="I408" t="str">
        <f t="shared" si="25"/>
        <v>Dimsum Udang = 12000</v>
      </c>
      <c r="J408">
        <f t="shared" si="26"/>
        <v>12</v>
      </c>
      <c r="K408" t="str">
        <f t="shared" si="27"/>
        <v>Dimsum Udang</v>
      </c>
    </row>
    <row r="409" spans="1:11" x14ac:dyDescent="0.25">
      <c r="A409" s="1" t="s">
        <v>76</v>
      </c>
      <c r="B409" t="s">
        <v>16</v>
      </c>
      <c r="C409" t="s">
        <v>9</v>
      </c>
      <c r="D409">
        <v>17</v>
      </c>
      <c r="E409">
        <v>18000</v>
      </c>
      <c r="F409" t="str">
        <f t="shared" si="24"/>
        <v>D 06000</v>
      </c>
      <c r="G409">
        <v>306000</v>
      </c>
      <c r="H409" t="s">
        <v>10</v>
      </c>
      <c r="I409" t="str">
        <f t="shared" si="25"/>
        <v>Dimsum Ayam Jamur = 18000</v>
      </c>
      <c r="J409">
        <f t="shared" si="26"/>
        <v>17</v>
      </c>
      <c r="K409" t="str">
        <f t="shared" si="27"/>
        <v>Dimsum Ayam Jamur</v>
      </c>
    </row>
    <row r="410" spans="1:11" x14ac:dyDescent="0.25">
      <c r="A410" s="1" t="s">
        <v>91</v>
      </c>
      <c r="B410" t="s">
        <v>8</v>
      </c>
      <c r="C410" t="s">
        <v>9</v>
      </c>
      <c r="D410">
        <v>12</v>
      </c>
      <c r="E410">
        <v>18000</v>
      </c>
      <c r="F410" t="str">
        <f t="shared" si="24"/>
        <v>D 16000</v>
      </c>
      <c r="G410">
        <v>216000</v>
      </c>
      <c r="H410" t="s">
        <v>20</v>
      </c>
      <c r="I410" t="str">
        <f t="shared" si="25"/>
        <v>Dimsum Ayam = 18000</v>
      </c>
      <c r="J410">
        <f t="shared" si="26"/>
        <v>11</v>
      </c>
      <c r="K410" t="str">
        <f t="shared" si="27"/>
        <v>Dimsum Ayam</v>
      </c>
    </row>
    <row r="411" spans="1:11" x14ac:dyDescent="0.25">
      <c r="A411" s="1" t="s">
        <v>25</v>
      </c>
      <c r="B411" t="s">
        <v>22</v>
      </c>
      <c r="C411" t="s">
        <v>9</v>
      </c>
      <c r="D411">
        <v>13</v>
      </c>
      <c r="E411">
        <v>18000</v>
      </c>
      <c r="F411" t="str">
        <f t="shared" si="24"/>
        <v>D 34000</v>
      </c>
      <c r="G411">
        <v>234000</v>
      </c>
      <c r="H411" t="s">
        <v>18</v>
      </c>
      <c r="I411" t="str">
        <f t="shared" si="25"/>
        <v>Dimsum Nori = 18000</v>
      </c>
      <c r="J411">
        <f t="shared" si="26"/>
        <v>11</v>
      </c>
      <c r="K411" t="str">
        <f t="shared" si="27"/>
        <v>Dimsum Nori</v>
      </c>
    </row>
    <row r="412" spans="1:11" x14ac:dyDescent="0.25">
      <c r="A412" s="1" t="s">
        <v>50</v>
      </c>
      <c r="B412" t="s">
        <v>22</v>
      </c>
      <c r="C412" t="s">
        <v>9</v>
      </c>
      <c r="D412">
        <v>3</v>
      </c>
      <c r="E412">
        <v>20000</v>
      </c>
      <c r="F412" t="str">
        <f t="shared" si="24"/>
        <v>D 0000</v>
      </c>
      <c r="G412">
        <v>60000</v>
      </c>
      <c r="H412" t="s">
        <v>18</v>
      </c>
      <c r="I412" t="str">
        <f t="shared" si="25"/>
        <v>Dimsum Nori = 20000</v>
      </c>
      <c r="J412">
        <f t="shared" si="26"/>
        <v>11</v>
      </c>
      <c r="K412" t="str">
        <f t="shared" si="27"/>
        <v>Dimsum Nori</v>
      </c>
    </row>
    <row r="413" spans="1:11" x14ac:dyDescent="0.25">
      <c r="A413" s="1" t="s">
        <v>63</v>
      </c>
      <c r="B413" t="s">
        <v>12</v>
      </c>
      <c r="C413" t="s">
        <v>9</v>
      </c>
      <c r="D413">
        <v>7</v>
      </c>
      <c r="E413">
        <v>18000</v>
      </c>
      <c r="F413" t="str">
        <f t="shared" si="24"/>
        <v>D 26000</v>
      </c>
      <c r="G413">
        <v>126000</v>
      </c>
      <c r="H413" t="s">
        <v>10</v>
      </c>
      <c r="I413" t="str">
        <f t="shared" si="25"/>
        <v>Dimsum Udang = 18000</v>
      </c>
      <c r="J413">
        <f t="shared" si="26"/>
        <v>12</v>
      </c>
      <c r="K413" t="str">
        <f t="shared" si="27"/>
        <v>Dimsum Udang</v>
      </c>
    </row>
    <row r="414" spans="1:11" x14ac:dyDescent="0.25">
      <c r="A414" s="1" t="s">
        <v>77</v>
      </c>
      <c r="B414" t="s">
        <v>12</v>
      </c>
      <c r="C414" t="s">
        <v>9</v>
      </c>
      <c r="D414">
        <v>13</v>
      </c>
      <c r="E414">
        <v>12000</v>
      </c>
      <c r="F414" t="str">
        <f t="shared" si="24"/>
        <v>D 56000</v>
      </c>
      <c r="G414">
        <v>156000</v>
      </c>
      <c r="H414" t="s">
        <v>18</v>
      </c>
      <c r="I414" t="str">
        <f t="shared" si="25"/>
        <v>Dimsum Udang = 12000</v>
      </c>
      <c r="J414">
        <f t="shared" si="26"/>
        <v>12</v>
      </c>
      <c r="K414" t="str">
        <f t="shared" si="27"/>
        <v>Dimsum Udang</v>
      </c>
    </row>
    <row r="415" spans="1:11" x14ac:dyDescent="0.25">
      <c r="A415" s="1" t="s">
        <v>73</v>
      </c>
      <c r="B415" t="s">
        <v>8</v>
      </c>
      <c r="C415" t="s">
        <v>9</v>
      </c>
      <c r="D415">
        <v>19</v>
      </c>
      <c r="E415">
        <v>20000</v>
      </c>
      <c r="F415" t="str">
        <f t="shared" si="24"/>
        <v>D 80000</v>
      </c>
      <c r="G415">
        <v>380000</v>
      </c>
      <c r="H415" t="s">
        <v>13</v>
      </c>
      <c r="I415" t="str">
        <f t="shared" si="25"/>
        <v>Dimsum Ayam = 20000</v>
      </c>
      <c r="J415">
        <f t="shared" si="26"/>
        <v>11</v>
      </c>
      <c r="K415" t="str">
        <f t="shared" si="27"/>
        <v>Dimsum Ayam</v>
      </c>
    </row>
    <row r="416" spans="1:11" x14ac:dyDescent="0.25">
      <c r="A416" s="1" t="s">
        <v>63</v>
      </c>
      <c r="B416" t="s">
        <v>8</v>
      </c>
      <c r="C416" t="s">
        <v>9</v>
      </c>
      <c r="D416">
        <v>15</v>
      </c>
      <c r="E416">
        <v>18000</v>
      </c>
      <c r="F416" t="str">
        <f t="shared" si="24"/>
        <v>D 70000</v>
      </c>
      <c r="G416">
        <v>270000</v>
      </c>
      <c r="H416" t="s">
        <v>10</v>
      </c>
      <c r="I416" t="str">
        <f t="shared" si="25"/>
        <v>Dimsum Ayam = 18000</v>
      </c>
      <c r="J416">
        <f t="shared" si="26"/>
        <v>11</v>
      </c>
      <c r="K416" t="str">
        <f t="shared" si="27"/>
        <v>Dimsum Ayam</v>
      </c>
    </row>
    <row r="417" spans="1:11" x14ac:dyDescent="0.25">
      <c r="A417" s="1" t="s">
        <v>21</v>
      </c>
      <c r="B417" t="s">
        <v>12</v>
      </c>
      <c r="C417" t="s">
        <v>9</v>
      </c>
      <c r="D417">
        <v>9</v>
      </c>
      <c r="E417">
        <v>12000</v>
      </c>
      <c r="F417" t="str">
        <f t="shared" si="24"/>
        <v>D 08000</v>
      </c>
      <c r="G417">
        <v>108000</v>
      </c>
      <c r="H417" t="s">
        <v>13</v>
      </c>
      <c r="I417" t="str">
        <f t="shared" si="25"/>
        <v>Dimsum Udang = 12000</v>
      </c>
      <c r="J417">
        <f t="shared" si="26"/>
        <v>12</v>
      </c>
      <c r="K417" t="str">
        <f t="shared" si="27"/>
        <v>Dimsum Udang</v>
      </c>
    </row>
    <row r="418" spans="1:11" x14ac:dyDescent="0.25">
      <c r="A418" s="1" t="s">
        <v>62</v>
      </c>
      <c r="B418" t="s">
        <v>16</v>
      </c>
      <c r="C418" t="s">
        <v>9</v>
      </c>
      <c r="D418">
        <v>17</v>
      </c>
      <c r="E418">
        <v>12000</v>
      </c>
      <c r="F418" t="str">
        <f t="shared" si="24"/>
        <v>D 04000</v>
      </c>
      <c r="G418">
        <v>204000</v>
      </c>
      <c r="H418" t="s">
        <v>18</v>
      </c>
      <c r="I418" t="str">
        <f t="shared" si="25"/>
        <v>Dimsum Ayam Jamur = 12000</v>
      </c>
      <c r="J418">
        <f t="shared" si="26"/>
        <v>17</v>
      </c>
      <c r="K418" t="str">
        <f t="shared" si="27"/>
        <v>Dimsum Ayam Jamur</v>
      </c>
    </row>
    <row r="419" spans="1:11" x14ac:dyDescent="0.25">
      <c r="A419" s="1" t="s">
        <v>25</v>
      </c>
      <c r="B419" t="s">
        <v>22</v>
      </c>
      <c r="C419" t="s">
        <v>9</v>
      </c>
      <c r="D419">
        <v>20</v>
      </c>
      <c r="E419">
        <v>20000</v>
      </c>
      <c r="F419" t="str">
        <f t="shared" si="24"/>
        <v>D 00000</v>
      </c>
      <c r="G419">
        <v>400000</v>
      </c>
      <c r="H419" t="s">
        <v>13</v>
      </c>
      <c r="I419" t="str">
        <f t="shared" si="25"/>
        <v>Dimsum Nori = 20000</v>
      </c>
      <c r="J419">
        <f t="shared" si="26"/>
        <v>11</v>
      </c>
      <c r="K419" t="str">
        <f t="shared" si="27"/>
        <v>Dimsum Nori</v>
      </c>
    </row>
    <row r="420" spans="1:11" x14ac:dyDescent="0.25">
      <c r="A420" s="1" t="s">
        <v>75</v>
      </c>
      <c r="B420" t="s">
        <v>8</v>
      </c>
      <c r="C420" t="s">
        <v>9</v>
      </c>
      <c r="D420">
        <v>1</v>
      </c>
      <c r="E420">
        <v>20000</v>
      </c>
      <c r="F420" t="str">
        <f t="shared" si="24"/>
        <v>D 0000</v>
      </c>
      <c r="G420">
        <v>20000</v>
      </c>
      <c r="H420" t="s">
        <v>20</v>
      </c>
      <c r="I420" t="str">
        <f t="shared" si="25"/>
        <v>Dimsum Ayam = 20000</v>
      </c>
      <c r="J420">
        <f t="shared" si="26"/>
        <v>11</v>
      </c>
      <c r="K420" t="str">
        <f t="shared" si="27"/>
        <v>Dimsum Ayam</v>
      </c>
    </row>
    <row r="421" spans="1:11" x14ac:dyDescent="0.25">
      <c r="A421" s="1" t="s">
        <v>89</v>
      </c>
      <c r="B421" t="s">
        <v>16</v>
      </c>
      <c r="C421" t="s">
        <v>9</v>
      </c>
      <c r="D421">
        <v>19</v>
      </c>
      <c r="E421">
        <v>12000</v>
      </c>
      <c r="F421" t="str">
        <f t="shared" si="24"/>
        <v>D 28000</v>
      </c>
      <c r="G421">
        <v>228000</v>
      </c>
      <c r="H421" t="s">
        <v>20</v>
      </c>
      <c r="I421" t="str">
        <f t="shared" si="25"/>
        <v>Dimsum Ayam Jamur = 12000</v>
      </c>
      <c r="J421">
        <f t="shared" si="26"/>
        <v>17</v>
      </c>
      <c r="K421" t="str">
        <f t="shared" si="27"/>
        <v>Dimsum Ayam Jamur</v>
      </c>
    </row>
    <row r="422" spans="1:11" x14ac:dyDescent="0.25">
      <c r="A422" s="1" t="s">
        <v>31</v>
      </c>
      <c r="B422" t="s">
        <v>22</v>
      </c>
      <c r="C422" t="s">
        <v>9</v>
      </c>
      <c r="D422">
        <v>3</v>
      </c>
      <c r="E422">
        <v>12000</v>
      </c>
      <c r="F422" t="str">
        <f t="shared" si="24"/>
        <v>D 6000</v>
      </c>
      <c r="G422">
        <v>36000</v>
      </c>
      <c r="H422" t="s">
        <v>13</v>
      </c>
      <c r="I422" t="str">
        <f t="shared" si="25"/>
        <v>Dimsum Nori = 12000</v>
      </c>
      <c r="J422">
        <f t="shared" si="26"/>
        <v>11</v>
      </c>
      <c r="K422" t="str">
        <f t="shared" si="27"/>
        <v>Dimsum Nori</v>
      </c>
    </row>
    <row r="423" spans="1:11" x14ac:dyDescent="0.25">
      <c r="A423" s="1" t="s">
        <v>23</v>
      </c>
      <c r="B423" t="s">
        <v>26</v>
      </c>
      <c r="C423" t="s">
        <v>9</v>
      </c>
      <c r="D423">
        <v>12</v>
      </c>
      <c r="E423">
        <v>15000</v>
      </c>
      <c r="F423" t="str">
        <f t="shared" si="24"/>
        <v>D 80000</v>
      </c>
      <c r="G423">
        <v>180000</v>
      </c>
      <c r="H423" t="s">
        <v>10</v>
      </c>
      <c r="I423" t="str">
        <f t="shared" si="25"/>
        <v>Dimsum Kepiting = 15000</v>
      </c>
      <c r="J423">
        <f t="shared" si="26"/>
        <v>15</v>
      </c>
      <c r="K423" t="str">
        <f t="shared" si="27"/>
        <v>Dimsum Kepiting</v>
      </c>
    </row>
    <row r="424" spans="1:11" x14ac:dyDescent="0.25">
      <c r="A424" s="1" t="s">
        <v>100</v>
      </c>
      <c r="B424" t="s">
        <v>22</v>
      </c>
      <c r="C424" t="s">
        <v>9</v>
      </c>
      <c r="D424">
        <v>12</v>
      </c>
      <c r="E424">
        <v>15000</v>
      </c>
      <c r="F424" t="str">
        <f t="shared" si="24"/>
        <v>D 80000</v>
      </c>
      <c r="G424">
        <v>180000</v>
      </c>
      <c r="H424" t="s">
        <v>20</v>
      </c>
      <c r="I424" t="str">
        <f t="shared" si="25"/>
        <v>Dimsum Nori = 15000</v>
      </c>
      <c r="J424">
        <f t="shared" si="26"/>
        <v>11</v>
      </c>
      <c r="K424" t="str">
        <f t="shared" si="27"/>
        <v>Dimsum Nori</v>
      </c>
    </row>
    <row r="425" spans="1:11" x14ac:dyDescent="0.25">
      <c r="A425" s="1" t="s">
        <v>61</v>
      </c>
      <c r="B425" t="s">
        <v>12</v>
      </c>
      <c r="C425" t="s">
        <v>9</v>
      </c>
      <c r="D425">
        <v>17</v>
      </c>
      <c r="E425">
        <v>20000</v>
      </c>
      <c r="F425" t="str">
        <f t="shared" si="24"/>
        <v>D 40000</v>
      </c>
      <c r="G425">
        <v>340000</v>
      </c>
      <c r="H425" t="s">
        <v>20</v>
      </c>
      <c r="I425" t="str">
        <f t="shared" si="25"/>
        <v>Dimsum Udang = 20000</v>
      </c>
      <c r="J425">
        <f t="shared" si="26"/>
        <v>12</v>
      </c>
      <c r="K425" t="str">
        <f t="shared" si="27"/>
        <v>Dimsum Udang</v>
      </c>
    </row>
    <row r="426" spans="1:11" x14ac:dyDescent="0.25">
      <c r="A426" s="1" t="s">
        <v>87</v>
      </c>
      <c r="B426" t="s">
        <v>16</v>
      </c>
      <c r="C426" t="s">
        <v>9</v>
      </c>
      <c r="D426">
        <v>8</v>
      </c>
      <c r="E426">
        <v>20000</v>
      </c>
      <c r="F426" t="str">
        <f t="shared" si="24"/>
        <v>D 60000</v>
      </c>
      <c r="G426">
        <v>160000</v>
      </c>
      <c r="H426" t="s">
        <v>13</v>
      </c>
      <c r="I426" t="str">
        <f t="shared" si="25"/>
        <v>Dimsum Ayam Jamur = 20000</v>
      </c>
      <c r="J426">
        <f t="shared" si="26"/>
        <v>17</v>
      </c>
      <c r="K426" t="str">
        <f t="shared" si="27"/>
        <v>Dimsum Ayam Jamur</v>
      </c>
    </row>
    <row r="427" spans="1:11" x14ac:dyDescent="0.25">
      <c r="A427" s="1" t="s">
        <v>60</v>
      </c>
      <c r="B427" t="s">
        <v>26</v>
      </c>
      <c r="C427" t="s">
        <v>9</v>
      </c>
      <c r="D427">
        <v>13</v>
      </c>
      <c r="E427">
        <v>12000</v>
      </c>
      <c r="F427" t="str">
        <f t="shared" si="24"/>
        <v>D 56000</v>
      </c>
      <c r="G427">
        <v>156000</v>
      </c>
      <c r="H427" t="s">
        <v>13</v>
      </c>
      <c r="I427" t="str">
        <f t="shared" si="25"/>
        <v>Dimsum Kepiting = 12000</v>
      </c>
      <c r="J427">
        <f t="shared" si="26"/>
        <v>15</v>
      </c>
      <c r="K427" t="str">
        <f t="shared" si="27"/>
        <v>Dimsum Kepiting</v>
      </c>
    </row>
    <row r="428" spans="1:11" x14ac:dyDescent="0.25">
      <c r="A428" s="1" t="s">
        <v>25</v>
      </c>
      <c r="B428" t="s">
        <v>8</v>
      </c>
      <c r="C428" t="s">
        <v>9</v>
      </c>
      <c r="D428">
        <v>18</v>
      </c>
      <c r="E428">
        <v>20000</v>
      </c>
      <c r="F428" t="str">
        <f t="shared" si="24"/>
        <v>D 60000</v>
      </c>
      <c r="G428">
        <v>360000</v>
      </c>
      <c r="H428" t="s">
        <v>10</v>
      </c>
      <c r="I428" t="str">
        <f t="shared" si="25"/>
        <v>Dimsum Ayam = 20000</v>
      </c>
      <c r="J428">
        <f t="shared" si="26"/>
        <v>11</v>
      </c>
      <c r="K428" t="str">
        <f t="shared" si="27"/>
        <v>Dimsum Ayam</v>
      </c>
    </row>
    <row r="429" spans="1:11" x14ac:dyDescent="0.25">
      <c r="A429" s="1" t="s">
        <v>87</v>
      </c>
      <c r="B429" t="s">
        <v>16</v>
      </c>
      <c r="C429" t="s">
        <v>9</v>
      </c>
      <c r="D429">
        <v>16</v>
      </c>
      <c r="E429">
        <v>18000</v>
      </c>
      <c r="F429" t="str">
        <f t="shared" si="24"/>
        <v>D 88000</v>
      </c>
      <c r="G429">
        <v>288000</v>
      </c>
      <c r="H429" t="s">
        <v>20</v>
      </c>
      <c r="I429" t="str">
        <f t="shared" si="25"/>
        <v>Dimsum Ayam Jamur = 18000</v>
      </c>
      <c r="J429">
        <f t="shared" si="26"/>
        <v>17</v>
      </c>
      <c r="K429" t="str">
        <f t="shared" si="27"/>
        <v>Dimsum Ayam Jamur</v>
      </c>
    </row>
    <row r="430" spans="1:11" x14ac:dyDescent="0.25">
      <c r="A430" s="1" t="s">
        <v>40</v>
      </c>
      <c r="B430" t="s">
        <v>22</v>
      </c>
      <c r="C430" t="s">
        <v>9</v>
      </c>
      <c r="D430">
        <v>4</v>
      </c>
      <c r="E430">
        <v>15000</v>
      </c>
      <c r="F430" t="str">
        <f t="shared" si="24"/>
        <v>D 0000</v>
      </c>
      <c r="G430">
        <v>60000</v>
      </c>
      <c r="H430" t="s">
        <v>13</v>
      </c>
      <c r="I430" t="str">
        <f t="shared" si="25"/>
        <v>Dimsum Nori = 15000</v>
      </c>
      <c r="J430">
        <f t="shared" si="26"/>
        <v>11</v>
      </c>
      <c r="K430" t="str">
        <f t="shared" si="27"/>
        <v>Dimsum Nori</v>
      </c>
    </row>
    <row r="431" spans="1:11" x14ac:dyDescent="0.25">
      <c r="A431" s="1" t="s">
        <v>58</v>
      </c>
      <c r="B431" t="s">
        <v>12</v>
      </c>
      <c r="C431" t="s">
        <v>9</v>
      </c>
      <c r="D431">
        <v>5</v>
      </c>
      <c r="E431">
        <v>15000</v>
      </c>
      <c r="F431" t="str">
        <f t="shared" si="24"/>
        <v>D 5000</v>
      </c>
      <c r="G431">
        <v>75000</v>
      </c>
      <c r="H431" t="s">
        <v>13</v>
      </c>
      <c r="I431" t="str">
        <f t="shared" si="25"/>
        <v>Dimsum Udang = 15000</v>
      </c>
      <c r="J431">
        <f t="shared" si="26"/>
        <v>12</v>
      </c>
      <c r="K431" t="str">
        <f t="shared" si="27"/>
        <v>Dimsum Udang</v>
      </c>
    </row>
    <row r="432" spans="1:11" x14ac:dyDescent="0.25">
      <c r="A432" s="1" t="s">
        <v>71</v>
      </c>
      <c r="B432" t="s">
        <v>22</v>
      </c>
      <c r="C432" t="s">
        <v>9</v>
      </c>
      <c r="D432">
        <v>4</v>
      </c>
      <c r="E432">
        <v>12000</v>
      </c>
      <c r="F432" t="str">
        <f t="shared" si="24"/>
        <v>D 8000</v>
      </c>
      <c r="G432">
        <v>48000</v>
      </c>
      <c r="H432" t="s">
        <v>13</v>
      </c>
      <c r="I432" t="str">
        <f t="shared" si="25"/>
        <v>Dimsum Nori = 12000</v>
      </c>
      <c r="J432">
        <f t="shared" si="26"/>
        <v>11</v>
      </c>
      <c r="K432" t="str">
        <f t="shared" si="27"/>
        <v>Dimsum Nori</v>
      </c>
    </row>
    <row r="433" spans="1:11" x14ac:dyDescent="0.25">
      <c r="A433" s="1" t="s">
        <v>65</v>
      </c>
      <c r="B433" t="s">
        <v>8</v>
      </c>
      <c r="C433" t="s">
        <v>9</v>
      </c>
      <c r="D433">
        <v>15</v>
      </c>
      <c r="E433">
        <v>15000</v>
      </c>
      <c r="F433" t="str">
        <f t="shared" si="24"/>
        <v>D 25000</v>
      </c>
      <c r="G433">
        <v>225000</v>
      </c>
      <c r="H433" t="s">
        <v>13</v>
      </c>
      <c r="I433" t="str">
        <f t="shared" si="25"/>
        <v>Dimsum Ayam = 15000</v>
      </c>
      <c r="J433">
        <f t="shared" si="26"/>
        <v>11</v>
      </c>
      <c r="K433" t="str">
        <f t="shared" si="27"/>
        <v>Dimsum Ayam</v>
      </c>
    </row>
    <row r="434" spans="1:11" x14ac:dyDescent="0.25">
      <c r="A434" s="1" t="s">
        <v>56</v>
      </c>
      <c r="B434" t="s">
        <v>16</v>
      </c>
      <c r="C434" t="s">
        <v>9</v>
      </c>
      <c r="D434">
        <v>10</v>
      </c>
      <c r="E434">
        <v>20000</v>
      </c>
      <c r="F434" t="str">
        <f t="shared" si="24"/>
        <v>D 00000</v>
      </c>
      <c r="G434">
        <v>200000</v>
      </c>
      <c r="H434" t="s">
        <v>20</v>
      </c>
      <c r="I434" t="str">
        <f t="shared" si="25"/>
        <v>Dimsum Ayam Jamur = 20000</v>
      </c>
      <c r="J434">
        <f t="shared" si="26"/>
        <v>17</v>
      </c>
      <c r="K434" t="str">
        <f t="shared" si="27"/>
        <v>Dimsum Ayam Jamur</v>
      </c>
    </row>
    <row r="435" spans="1:11" x14ac:dyDescent="0.25">
      <c r="A435" s="1" t="s">
        <v>15</v>
      </c>
      <c r="B435" t="s">
        <v>16</v>
      </c>
      <c r="C435" t="s">
        <v>9</v>
      </c>
      <c r="D435">
        <v>8</v>
      </c>
      <c r="E435">
        <v>20000</v>
      </c>
      <c r="F435" t="str">
        <f t="shared" si="24"/>
        <v>D 60000</v>
      </c>
      <c r="G435">
        <v>160000</v>
      </c>
      <c r="H435" t="s">
        <v>13</v>
      </c>
      <c r="I435" t="str">
        <f t="shared" si="25"/>
        <v>Dimsum Ayam Jamur = 20000</v>
      </c>
      <c r="J435">
        <f t="shared" si="26"/>
        <v>17</v>
      </c>
      <c r="K435" t="str">
        <f t="shared" si="27"/>
        <v>Dimsum Ayam Jamur</v>
      </c>
    </row>
    <row r="436" spans="1:11" x14ac:dyDescent="0.25">
      <c r="A436" s="1" t="s">
        <v>11</v>
      </c>
      <c r="B436" t="s">
        <v>16</v>
      </c>
      <c r="C436" t="s">
        <v>9</v>
      </c>
      <c r="D436">
        <v>9</v>
      </c>
      <c r="E436">
        <v>15000</v>
      </c>
      <c r="F436" t="str">
        <f t="shared" si="24"/>
        <v>D 35000</v>
      </c>
      <c r="G436">
        <v>135000</v>
      </c>
      <c r="H436" t="s">
        <v>10</v>
      </c>
      <c r="I436" t="str">
        <f t="shared" si="25"/>
        <v>Dimsum Ayam Jamur = 15000</v>
      </c>
      <c r="J436">
        <f t="shared" si="26"/>
        <v>17</v>
      </c>
      <c r="K436" t="str">
        <f t="shared" si="27"/>
        <v>Dimsum Ayam Jamur</v>
      </c>
    </row>
    <row r="437" spans="1:11" x14ac:dyDescent="0.25">
      <c r="A437" s="1" t="s">
        <v>35</v>
      </c>
      <c r="B437" t="s">
        <v>16</v>
      </c>
      <c r="C437" t="s">
        <v>9</v>
      </c>
      <c r="D437">
        <v>19</v>
      </c>
      <c r="E437">
        <v>20000</v>
      </c>
      <c r="F437" t="str">
        <f t="shared" si="24"/>
        <v>D 80000</v>
      </c>
      <c r="G437">
        <v>380000</v>
      </c>
      <c r="H437" t="s">
        <v>13</v>
      </c>
      <c r="I437" t="str">
        <f t="shared" si="25"/>
        <v>Dimsum Ayam Jamur = 20000</v>
      </c>
      <c r="J437">
        <f t="shared" si="26"/>
        <v>17</v>
      </c>
      <c r="K437" t="str">
        <f t="shared" si="27"/>
        <v>Dimsum Ayam Jamur</v>
      </c>
    </row>
    <row r="438" spans="1:11" x14ac:dyDescent="0.25">
      <c r="A438" s="1" t="s">
        <v>70</v>
      </c>
      <c r="B438" t="s">
        <v>8</v>
      </c>
      <c r="C438" t="s">
        <v>9</v>
      </c>
      <c r="D438">
        <v>15</v>
      </c>
      <c r="E438">
        <v>18000</v>
      </c>
      <c r="F438" t="str">
        <f t="shared" si="24"/>
        <v>D 70000</v>
      </c>
      <c r="G438">
        <v>270000</v>
      </c>
      <c r="H438" t="s">
        <v>13</v>
      </c>
      <c r="I438" t="str">
        <f t="shared" si="25"/>
        <v>Dimsum Ayam = 18000</v>
      </c>
      <c r="J438">
        <f t="shared" si="26"/>
        <v>11</v>
      </c>
      <c r="K438" t="str">
        <f t="shared" si="27"/>
        <v>Dimsum Ayam</v>
      </c>
    </row>
    <row r="439" spans="1:11" x14ac:dyDescent="0.25">
      <c r="A439" s="1" t="s">
        <v>45</v>
      </c>
      <c r="B439" t="s">
        <v>26</v>
      </c>
      <c r="C439" t="s">
        <v>9</v>
      </c>
      <c r="D439">
        <v>20</v>
      </c>
      <c r="E439">
        <v>20000</v>
      </c>
      <c r="F439" t="str">
        <f t="shared" si="24"/>
        <v>D 00000</v>
      </c>
      <c r="G439">
        <v>400000</v>
      </c>
      <c r="H439" t="s">
        <v>20</v>
      </c>
      <c r="I439" t="str">
        <f t="shared" si="25"/>
        <v>Dimsum Kepiting = 20000</v>
      </c>
      <c r="J439">
        <f t="shared" si="26"/>
        <v>15</v>
      </c>
      <c r="K439" t="str">
        <f t="shared" si="27"/>
        <v>Dimsum Kepiting</v>
      </c>
    </row>
    <row r="440" spans="1:11" x14ac:dyDescent="0.25">
      <c r="A440" s="1" t="s">
        <v>76</v>
      </c>
      <c r="B440" t="s">
        <v>22</v>
      </c>
      <c r="C440" t="s">
        <v>9</v>
      </c>
      <c r="D440">
        <v>6</v>
      </c>
      <c r="E440">
        <v>20000</v>
      </c>
      <c r="F440" t="str">
        <f t="shared" si="24"/>
        <v>D 20000</v>
      </c>
      <c r="G440">
        <v>120000</v>
      </c>
      <c r="H440" t="s">
        <v>10</v>
      </c>
      <c r="I440" t="str">
        <f t="shared" si="25"/>
        <v>Dimsum Nori = 20000</v>
      </c>
      <c r="J440">
        <f t="shared" si="26"/>
        <v>11</v>
      </c>
      <c r="K440" t="str">
        <f t="shared" si="27"/>
        <v>Dimsum Nori</v>
      </c>
    </row>
    <row r="441" spans="1:11" x14ac:dyDescent="0.25">
      <c r="A441" s="1" t="s">
        <v>11</v>
      </c>
      <c r="B441" t="s">
        <v>12</v>
      </c>
      <c r="C441" t="s">
        <v>9</v>
      </c>
      <c r="D441">
        <v>14</v>
      </c>
      <c r="E441">
        <v>20000</v>
      </c>
      <c r="F441" t="str">
        <f t="shared" si="24"/>
        <v>D 80000</v>
      </c>
      <c r="G441">
        <v>280000</v>
      </c>
      <c r="H441" t="s">
        <v>20</v>
      </c>
      <c r="I441" t="str">
        <f t="shared" si="25"/>
        <v>Dimsum Udang = 20000</v>
      </c>
      <c r="J441">
        <f t="shared" si="26"/>
        <v>12</v>
      </c>
      <c r="K441" t="str">
        <f t="shared" si="27"/>
        <v>Dimsum Udang</v>
      </c>
    </row>
    <row r="442" spans="1:11" x14ac:dyDescent="0.25">
      <c r="A442" s="1" t="s">
        <v>105</v>
      </c>
      <c r="B442" t="s">
        <v>8</v>
      </c>
      <c r="C442" t="s">
        <v>9</v>
      </c>
      <c r="D442">
        <v>8</v>
      </c>
      <c r="E442">
        <v>12000</v>
      </c>
      <c r="F442" t="str">
        <f t="shared" si="24"/>
        <v>D 6000</v>
      </c>
      <c r="G442">
        <v>96000</v>
      </c>
      <c r="H442" t="s">
        <v>20</v>
      </c>
      <c r="I442" t="str">
        <f t="shared" si="25"/>
        <v>Dimsum Ayam = 12000</v>
      </c>
      <c r="J442">
        <f t="shared" si="26"/>
        <v>11</v>
      </c>
      <c r="K442" t="str">
        <f t="shared" si="27"/>
        <v>Dimsum Ayam</v>
      </c>
    </row>
    <row r="443" spans="1:11" x14ac:dyDescent="0.25">
      <c r="A443" s="1" t="s">
        <v>21</v>
      </c>
      <c r="B443" t="s">
        <v>12</v>
      </c>
      <c r="C443" t="s">
        <v>9</v>
      </c>
      <c r="D443">
        <v>17</v>
      </c>
      <c r="E443">
        <v>12000</v>
      </c>
      <c r="F443" t="str">
        <f t="shared" si="24"/>
        <v>D 04000</v>
      </c>
      <c r="G443">
        <v>204000</v>
      </c>
      <c r="H443" t="s">
        <v>13</v>
      </c>
      <c r="I443" t="str">
        <f t="shared" si="25"/>
        <v>Dimsum Udang = 12000</v>
      </c>
      <c r="J443">
        <f t="shared" si="26"/>
        <v>12</v>
      </c>
      <c r="K443" t="str">
        <f t="shared" si="27"/>
        <v>Dimsum Udang</v>
      </c>
    </row>
    <row r="444" spans="1:11" x14ac:dyDescent="0.25">
      <c r="A444" s="1" t="s">
        <v>75</v>
      </c>
      <c r="B444" t="s">
        <v>22</v>
      </c>
      <c r="C444" t="s">
        <v>9</v>
      </c>
      <c r="D444">
        <v>4</v>
      </c>
      <c r="E444">
        <v>15000</v>
      </c>
      <c r="F444" t="str">
        <f t="shared" si="24"/>
        <v>D 0000</v>
      </c>
      <c r="G444">
        <v>60000</v>
      </c>
      <c r="H444" t="s">
        <v>18</v>
      </c>
      <c r="I444" t="str">
        <f t="shared" si="25"/>
        <v>Dimsum Nori = 15000</v>
      </c>
      <c r="J444">
        <f t="shared" si="26"/>
        <v>11</v>
      </c>
      <c r="K444" t="str">
        <f t="shared" si="27"/>
        <v>Dimsum Nori</v>
      </c>
    </row>
    <row r="445" spans="1:11" x14ac:dyDescent="0.25">
      <c r="A445" s="1" t="s">
        <v>54</v>
      </c>
      <c r="B445" t="s">
        <v>26</v>
      </c>
      <c r="C445" t="s">
        <v>9</v>
      </c>
      <c r="D445">
        <v>13</v>
      </c>
      <c r="E445">
        <v>12000</v>
      </c>
      <c r="F445" t="str">
        <f t="shared" si="24"/>
        <v>D 56000</v>
      </c>
      <c r="G445">
        <v>156000</v>
      </c>
      <c r="H445" t="s">
        <v>10</v>
      </c>
      <c r="I445" t="str">
        <f t="shared" si="25"/>
        <v>Dimsum Kepiting = 12000</v>
      </c>
      <c r="J445">
        <f t="shared" si="26"/>
        <v>15</v>
      </c>
      <c r="K445" t="str">
        <f t="shared" si="27"/>
        <v>Dimsum Kepiting</v>
      </c>
    </row>
    <row r="446" spans="1:11" x14ac:dyDescent="0.25">
      <c r="A446" s="1" t="s">
        <v>47</v>
      </c>
      <c r="B446" t="s">
        <v>22</v>
      </c>
      <c r="C446" t="s">
        <v>9</v>
      </c>
      <c r="D446">
        <v>16</v>
      </c>
      <c r="E446">
        <v>12000</v>
      </c>
      <c r="F446" t="str">
        <f t="shared" si="24"/>
        <v>D 92000</v>
      </c>
      <c r="G446">
        <v>192000</v>
      </c>
      <c r="H446" t="s">
        <v>13</v>
      </c>
      <c r="I446" t="str">
        <f t="shared" si="25"/>
        <v>Dimsum Nori = 12000</v>
      </c>
      <c r="J446">
        <f t="shared" si="26"/>
        <v>11</v>
      </c>
      <c r="K446" t="str">
        <f t="shared" si="27"/>
        <v>Dimsum Nori</v>
      </c>
    </row>
    <row r="447" spans="1:11" x14ac:dyDescent="0.25">
      <c r="A447" s="1" t="s">
        <v>19</v>
      </c>
      <c r="B447" t="s">
        <v>26</v>
      </c>
      <c r="C447" t="s">
        <v>9</v>
      </c>
      <c r="D447">
        <v>4</v>
      </c>
      <c r="E447">
        <v>18000</v>
      </c>
      <c r="F447" t="str">
        <f t="shared" si="24"/>
        <v>D 2000</v>
      </c>
      <c r="G447">
        <v>72000</v>
      </c>
      <c r="H447" t="s">
        <v>20</v>
      </c>
      <c r="I447" t="str">
        <f t="shared" si="25"/>
        <v>Dimsum Kepiting = 18000</v>
      </c>
      <c r="J447">
        <f t="shared" si="26"/>
        <v>15</v>
      </c>
      <c r="K447" t="str">
        <f t="shared" si="27"/>
        <v>Dimsum Kepiting</v>
      </c>
    </row>
    <row r="448" spans="1:11" x14ac:dyDescent="0.25">
      <c r="A448" s="1" t="s">
        <v>85</v>
      </c>
      <c r="B448" t="s">
        <v>16</v>
      </c>
      <c r="C448" t="s">
        <v>9</v>
      </c>
      <c r="D448">
        <v>12</v>
      </c>
      <c r="E448">
        <v>20000</v>
      </c>
      <c r="F448" t="str">
        <f t="shared" si="24"/>
        <v>D 40000</v>
      </c>
      <c r="G448">
        <v>240000</v>
      </c>
      <c r="H448" t="s">
        <v>10</v>
      </c>
      <c r="I448" t="str">
        <f t="shared" si="25"/>
        <v>Dimsum Ayam Jamur = 20000</v>
      </c>
      <c r="J448">
        <f t="shared" si="26"/>
        <v>17</v>
      </c>
      <c r="K448" t="str">
        <f t="shared" si="27"/>
        <v>Dimsum Ayam Jamur</v>
      </c>
    </row>
    <row r="449" spans="1:11" x14ac:dyDescent="0.25">
      <c r="A449" s="1" t="s">
        <v>33</v>
      </c>
      <c r="B449" t="s">
        <v>22</v>
      </c>
      <c r="C449" t="s">
        <v>9</v>
      </c>
      <c r="D449">
        <v>8</v>
      </c>
      <c r="E449">
        <v>15000</v>
      </c>
      <c r="F449" t="str">
        <f t="shared" si="24"/>
        <v>D 20000</v>
      </c>
      <c r="G449">
        <v>120000</v>
      </c>
      <c r="H449" t="s">
        <v>18</v>
      </c>
      <c r="I449" t="str">
        <f t="shared" si="25"/>
        <v>Dimsum Nori = 15000</v>
      </c>
      <c r="J449">
        <f t="shared" si="26"/>
        <v>11</v>
      </c>
      <c r="K449" t="str">
        <f t="shared" si="27"/>
        <v>Dimsum Nori</v>
      </c>
    </row>
    <row r="450" spans="1:11" x14ac:dyDescent="0.25">
      <c r="A450" s="1" t="s">
        <v>39</v>
      </c>
      <c r="B450" t="s">
        <v>8</v>
      </c>
      <c r="C450" t="s">
        <v>9</v>
      </c>
      <c r="D450">
        <v>3</v>
      </c>
      <c r="E450">
        <v>12000</v>
      </c>
      <c r="F450" t="str">
        <f t="shared" si="24"/>
        <v>D 6000</v>
      </c>
      <c r="G450">
        <v>36000</v>
      </c>
      <c r="H450" t="s">
        <v>18</v>
      </c>
      <c r="I450" t="str">
        <f t="shared" si="25"/>
        <v>Dimsum Ayam = 12000</v>
      </c>
      <c r="J450">
        <f t="shared" si="26"/>
        <v>11</v>
      </c>
      <c r="K450" t="str">
        <f t="shared" si="27"/>
        <v>Dimsum Ayam</v>
      </c>
    </row>
    <row r="451" spans="1:11" x14ac:dyDescent="0.25">
      <c r="A451" s="1" t="s">
        <v>101</v>
      </c>
      <c r="B451" t="s">
        <v>22</v>
      </c>
      <c r="C451" t="s">
        <v>9</v>
      </c>
      <c r="D451">
        <v>20</v>
      </c>
      <c r="E451">
        <v>18000</v>
      </c>
      <c r="F451" t="str">
        <f t="shared" ref="F451:F501" si="28">REPLACE(G451,1,1,"D ")</f>
        <v>D 60000</v>
      </c>
      <c r="G451">
        <v>360000</v>
      </c>
      <c r="H451" t="s">
        <v>18</v>
      </c>
      <c r="I451" t="str">
        <f t="shared" ref="I451:I501" si="29">CONCATENATE(B451, " = ", E451)</f>
        <v>Dimsum Nori = 18000</v>
      </c>
      <c r="J451">
        <f t="shared" ref="J451:J501" si="30">LEN(B451)</f>
        <v>11</v>
      </c>
      <c r="K451" t="str">
        <f t="shared" ref="K451:K501" si="31">TRIM(B451)</f>
        <v>Dimsum Nori</v>
      </c>
    </row>
    <row r="452" spans="1:11" x14ac:dyDescent="0.25">
      <c r="A452" s="1" t="s">
        <v>83</v>
      </c>
      <c r="B452" t="s">
        <v>16</v>
      </c>
      <c r="C452" t="s">
        <v>9</v>
      </c>
      <c r="D452">
        <v>16</v>
      </c>
      <c r="E452">
        <v>15000</v>
      </c>
      <c r="F452" t="str">
        <f t="shared" si="28"/>
        <v>D 40000</v>
      </c>
      <c r="G452">
        <v>240000</v>
      </c>
      <c r="H452" t="s">
        <v>10</v>
      </c>
      <c r="I452" t="str">
        <f t="shared" si="29"/>
        <v>Dimsum Ayam Jamur = 15000</v>
      </c>
      <c r="J452">
        <f t="shared" si="30"/>
        <v>17</v>
      </c>
      <c r="K452" t="str">
        <f t="shared" si="31"/>
        <v>Dimsum Ayam Jamur</v>
      </c>
    </row>
    <row r="453" spans="1:11" x14ac:dyDescent="0.25">
      <c r="A453" s="1" t="s">
        <v>51</v>
      </c>
      <c r="B453" t="s">
        <v>26</v>
      </c>
      <c r="C453" t="s">
        <v>9</v>
      </c>
      <c r="D453">
        <v>17</v>
      </c>
      <c r="E453">
        <v>15000</v>
      </c>
      <c r="F453" t="str">
        <f t="shared" si="28"/>
        <v>D 55000</v>
      </c>
      <c r="G453">
        <v>255000</v>
      </c>
      <c r="H453" t="s">
        <v>20</v>
      </c>
      <c r="I453" t="str">
        <f t="shared" si="29"/>
        <v>Dimsum Kepiting = 15000</v>
      </c>
      <c r="J453">
        <f t="shared" si="30"/>
        <v>15</v>
      </c>
      <c r="K453" t="str">
        <f t="shared" si="31"/>
        <v>Dimsum Kepiting</v>
      </c>
    </row>
    <row r="454" spans="1:11" x14ac:dyDescent="0.25">
      <c r="A454" s="1" t="s">
        <v>50</v>
      </c>
      <c r="B454" t="s">
        <v>8</v>
      </c>
      <c r="C454" t="s">
        <v>9</v>
      </c>
      <c r="D454">
        <v>11</v>
      </c>
      <c r="E454">
        <v>12000</v>
      </c>
      <c r="F454" t="str">
        <f t="shared" si="28"/>
        <v>D 32000</v>
      </c>
      <c r="G454">
        <v>132000</v>
      </c>
      <c r="H454" t="s">
        <v>10</v>
      </c>
      <c r="I454" t="str">
        <f t="shared" si="29"/>
        <v>Dimsum Ayam = 12000</v>
      </c>
      <c r="J454">
        <f t="shared" si="30"/>
        <v>11</v>
      </c>
      <c r="K454" t="str">
        <f t="shared" si="31"/>
        <v>Dimsum Ayam</v>
      </c>
    </row>
    <row r="455" spans="1:11" x14ac:dyDescent="0.25">
      <c r="A455" s="1" t="s">
        <v>98</v>
      </c>
      <c r="B455" t="s">
        <v>16</v>
      </c>
      <c r="C455" t="s">
        <v>9</v>
      </c>
      <c r="D455">
        <v>2</v>
      </c>
      <c r="E455">
        <v>20000</v>
      </c>
      <c r="F455" t="str">
        <f t="shared" si="28"/>
        <v>D 0000</v>
      </c>
      <c r="G455">
        <v>40000</v>
      </c>
      <c r="H455" t="s">
        <v>20</v>
      </c>
      <c r="I455" t="str">
        <f t="shared" si="29"/>
        <v>Dimsum Ayam Jamur = 20000</v>
      </c>
      <c r="J455">
        <f t="shared" si="30"/>
        <v>17</v>
      </c>
      <c r="K455" t="str">
        <f t="shared" si="31"/>
        <v>Dimsum Ayam Jamur</v>
      </c>
    </row>
    <row r="456" spans="1:11" x14ac:dyDescent="0.25">
      <c r="A456" s="1" t="s">
        <v>103</v>
      </c>
      <c r="B456" t="s">
        <v>16</v>
      </c>
      <c r="C456" t="s">
        <v>9</v>
      </c>
      <c r="D456">
        <v>5</v>
      </c>
      <c r="E456">
        <v>15000</v>
      </c>
      <c r="F456" t="str">
        <f t="shared" si="28"/>
        <v>D 5000</v>
      </c>
      <c r="G456">
        <v>75000</v>
      </c>
      <c r="H456" t="s">
        <v>13</v>
      </c>
      <c r="I456" t="str">
        <f t="shared" si="29"/>
        <v>Dimsum Ayam Jamur = 15000</v>
      </c>
      <c r="J456">
        <f t="shared" si="30"/>
        <v>17</v>
      </c>
      <c r="K456" t="str">
        <f t="shared" si="31"/>
        <v>Dimsum Ayam Jamur</v>
      </c>
    </row>
    <row r="457" spans="1:11" x14ac:dyDescent="0.25">
      <c r="A457" s="1" t="s">
        <v>72</v>
      </c>
      <c r="B457" t="s">
        <v>16</v>
      </c>
      <c r="C457" t="s">
        <v>9</v>
      </c>
      <c r="D457">
        <v>13</v>
      </c>
      <c r="E457">
        <v>18000</v>
      </c>
      <c r="F457" t="str">
        <f t="shared" si="28"/>
        <v>D 34000</v>
      </c>
      <c r="G457">
        <v>234000</v>
      </c>
      <c r="H457" t="s">
        <v>13</v>
      </c>
      <c r="I457" t="str">
        <f t="shared" si="29"/>
        <v>Dimsum Ayam Jamur = 18000</v>
      </c>
      <c r="J457">
        <f t="shared" si="30"/>
        <v>17</v>
      </c>
      <c r="K457" t="str">
        <f t="shared" si="31"/>
        <v>Dimsum Ayam Jamur</v>
      </c>
    </row>
    <row r="458" spans="1:11" x14ac:dyDescent="0.25">
      <c r="A458" s="1" t="s">
        <v>42</v>
      </c>
      <c r="B458" t="s">
        <v>22</v>
      </c>
      <c r="C458" t="s">
        <v>9</v>
      </c>
      <c r="D458">
        <v>1</v>
      </c>
      <c r="E458">
        <v>12000</v>
      </c>
      <c r="F458" t="str">
        <f t="shared" si="28"/>
        <v>D 2000</v>
      </c>
      <c r="G458">
        <v>12000</v>
      </c>
      <c r="H458" t="s">
        <v>10</v>
      </c>
      <c r="I458" t="str">
        <f t="shared" si="29"/>
        <v>Dimsum Nori = 12000</v>
      </c>
      <c r="J458">
        <f t="shared" si="30"/>
        <v>11</v>
      </c>
      <c r="K458" t="str">
        <f t="shared" si="31"/>
        <v>Dimsum Nori</v>
      </c>
    </row>
    <row r="459" spans="1:11" x14ac:dyDescent="0.25">
      <c r="A459" s="1" t="s">
        <v>66</v>
      </c>
      <c r="B459" t="s">
        <v>12</v>
      </c>
      <c r="C459" t="s">
        <v>9</v>
      </c>
      <c r="D459">
        <v>14</v>
      </c>
      <c r="E459">
        <v>18000</v>
      </c>
      <c r="F459" t="str">
        <f t="shared" si="28"/>
        <v>D 52000</v>
      </c>
      <c r="G459">
        <v>252000</v>
      </c>
      <c r="H459" t="s">
        <v>13</v>
      </c>
      <c r="I459" t="str">
        <f t="shared" si="29"/>
        <v>Dimsum Udang = 18000</v>
      </c>
      <c r="J459">
        <f t="shared" si="30"/>
        <v>12</v>
      </c>
      <c r="K459" t="str">
        <f t="shared" si="31"/>
        <v>Dimsum Udang</v>
      </c>
    </row>
    <row r="460" spans="1:11" x14ac:dyDescent="0.25">
      <c r="A460" s="1" t="s">
        <v>61</v>
      </c>
      <c r="B460" t="s">
        <v>22</v>
      </c>
      <c r="C460" t="s">
        <v>9</v>
      </c>
      <c r="D460">
        <v>17</v>
      </c>
      <c r="E460">
        <v>18000</v>
      </c>
      <c r="F460" t="str">
        <f t="shared" si="28"/>
        <v>D 06000</v>
      </c>
      <c r="G460">
        <v>306000</v>
      </c>
      <c r="H460" t="s">
        <v>10</v>
      </c>
      <c r="I460" t="str">
        <f t="shared" si="29"/>
        <v>Dimsum Nori = 18000</v>
      </c>
      <c r="J460">
        <f t="shared" si="30"/>
        <v>11</v>
      </c>
      <c r="K460" t="str">
        <f t="shared" si="31"/>
        <v>Dimsum Nori</v>
      </c>
    </row>
    <row r="461" spans="1:11" x14ac:dyDescent="0.25">
      <c r="A461" s="1" t="s">
        <v>30</v>
      </c>
      <c r="B461" t="s">
        <v>12</v>
      </c>
      <c r="C461" t="s">
        <v>9</v>
      </c>
      <c r="D461">
        <v>11</v>
      </c>
      <c r="E461">
        <v>12000</v>
      </c>
      <c r="F461" t="str">
        <f t="shared" si="28"/>
        <v>D 32000</v>
      </c>
      <c r="G461">
        <v>132000</v>
      </c>
      <c r="H461" t="s">
        <v>13</v>
      </c>
      <c r="I461" t="str">
        <f t="shared" si="29"/>
        <v>Dimsum Udang = 12000</v>
      </c>
      <c r="J461">
        <f t="shared" si="30"/>
        <v>12</v>
      </c>
      <c r="K461" t="str">
        <f t="shared" si="31"/>
        <v>Dimsum Udang</v>
      </c>
    </row>
    <row r="462" spans="1:11" x14ac:dyDescent="0.25">
      <c r="A462" s="1" t="s">
        <v>27</v>
      </c>
      <c r="B462" t="s">
        <v>16</v>
      </c>
      <c r="C462" t="s">
        <v>9</v>
      </c>
      <c r="D462">
        <v>14</v>
      </c>
      <c r="E462">
        <v>20000</v>
      </c>
      <c r="F462" t="str">
        <f t="shared" si="28"/>
        <v>D 80000</v>
      </c>
      <c r="G462">
        <v>280000</v>
      </c>
      <c r="H462" t="s">
        <v>18</v>
      </c>
      <c r="I462" t="str">
        <f t="shared" si="29"/>
        <v>Dimsum Ayam Jamur = 20000</v>
      </c>
      <c r="J462">
        <f t="shared" si="30"/>
        <v>17</v>
      </c>
      <c r="K462" t="str">
        <f t="shared" si="31"/>
        <v>Dimsum Ayam Jamur</v>
      </c>
    </row>
    <row r="463" spans="1:11" x14ac:dyDescent="0.25">
      <c r="A463" s="1" t="s">
        <v>75</v>
      </c>
      <c r="B463" t="s">
        <v>22</v>
      </c>
      <c r="C463" t="s">
        <v>9</v>
      </c>
      <c r="D463">
        <v>4</v>
      </c>
      <c r="E463">
        <v>12000</v>
      </c>
      <c r="F463" t="str">
        <f t="shared" si="28"/>
        <v>D 8000</v>
      </c>
      <c r="G463">
        <v>48000</v>
      </c>
      <c r="H463" t="s">
        <v>18</v>
      </c>
      <c r="I463" t="str">
        <f t="shared" si="29"/>
        <v>Dimsum Nori = 12000</v>
      </c>
      <c r="J463">
        <f t="shared" si="30"/>
        <v>11</v>
      </c>
      <c r="K463" t="str">
        <f t="shared" si="31"/>
        <v>Dimsum Nori</v>
      </c>
    </row>
    <row r="464" spans="1:11" x14ac:dyDescent="0.25">
      <c r="A464" s="1" t="s">
        <v>36</v>
      </c>
      <c r="B464" t="s">
        <v>26</v>
      </c>
      <c r="C464" t="s">
        <v>9</v>
      </c>
      <c r="D464">
        <v>6</v>
      </c>
      <c r="E464">
        <v>18000</v>
      </c>
      <c r="F464" t="str">
        <f t="shared" si="28"/>
        <v>D 08000</v>
      </c>
      <c r="G464">
        <v>108000</v>
      </c>
      <c r="H464" t="s">
        <v>18</v>
      </c>
      <c r="I464" t="str">
        <f t="shared" si="29"/>
        <v>Dimsum Kepiting = 18000</v>
      </c>
      <c r="J464">
        <f t="shared" si="30"/>
        <v>15</v>
      </c>
      <c r="K464" t="str">
        <f t="shared" si="31"/>
        <v>Dimsum Kepiting</v>
      </c>
    </row>
    <row r="465" spans="1:11" x14ac:dyDescent="0.25">
      <c r="A465" s="1" t="s">
        <v>61</v>
      </c>
      <c r="B465" t="s">
        <v>26</v>
      </c>
      <c r="C465" t="s">
        <v>9</v>
      </c>
      <c r="D465">
        <v>2</v>
      </c>
      <c r="E465">
        <v>12000</v>
      </c>
      <c r="F465" t="str">
        <f t="shared" si="28"/>
        <v>D 4000</v>
      </c>
      <c r="G465">
        <v>24000</v>
      </c>
      <c r="H465" t="s">
        <v>13</v>
      </c>
      <c r="I465" t="str">
        <f t="shared" si="29"/>
        <v>Dimsum Kepiting = 12000</v>
      </c>
      <c r="J465">
        <f t="shared" si="30"/>
        <v>15</v>
      </c>
      <c r="K465" t="str">
        <f t="shared" si="31"/>
        <v>Dimsum Kepiting</v>
      </c>
    </row>
    <row r="466" spans="1:11" x14ac:dyDescent="0.25">
      <c r="A466" s="1" t="s">
        <v>45</v>
      </c>
      <c r="B466" t="s">
        <v>12</v>
      </c>
      <c r="C466" t="s">
        <v>9</v>
      </c>
      <c r="D466">
        <v>14</v>
      </c>
      <c r="E466">
        <v>15000</v>
      </c>
      <c r="F466" t="str">
        <f t="shared" si="28"/>
        <v>D 10000</v>
      </c>
      <c r="G466">
        <v>210000</v>
      </c>
      <c r="H466" t="s">
        <v>18</v>
      </c>
      <c r="I466" t="str">
        <f t="shared" si="29"/>
        <v>Dimsum Udang = 15000</v>
      </c>
      <c r="J466">
        <f t="shared" si="30"/>
        <v>12</v>
      </c>
      <c r="K466" t="str">
        <f t="shared" si="31"/>
        <v>Dimsum Udang</v>
      </c>
    </row>
    <row r="467" spans="1:11" x14ac:dyDescent="0.25">
      <c r="A467" s="1" t="s">
        <v>97</v>
      </c>
      <c r="B467" t="s">
        <v>16</v>
      </c>
      <c r="C467" t="s">
        <v>9</v>
      </c>
      <c r="D467">
        <v>14</v>
      </c>
      <c r="E467">
        <v>20000</v>
      </c>
      <c r="F467" t="str">
        <f t="shared" si="28"/>
        <v>D 80000</v>
      </c>
      <c r="G467">
        <v>280000</v>
      </c>
      <c r="H467" t="s">
        <v>20</v>
      </c>
      <c r="I467" t="str">
        <f t="shared" si="29"/>
        <v>Dimsum Ayam Jamur = 20000</v>
      </c>
      <c r="J467">
        <f t="shared" si="30"/>
        <v>17</v>
      </c>
      <c r="K467" t="str">
        <f t="shared" si="31"/>
        <v>Dimsum Ayam Jamur</v>
      </c>
    </row>
    <row r="468" spans="1:11" x14ac:dyDescent="0.25">
      <c r="A468" s="1" t="s">
        <v>41</v>
      </c>
      <c r="B468" t="s">
        <v>8</v>
      </c>
      <c r="C468" t="s">
        <v>9</v>
      </c>
      <c r="D468">
        <v>20</v>
      </c>
      <c r="E468">
        <v>20000</v>
      </c>
      <c r="F468" t="str">
        <f t="shared" si="28"/>
        <v>D 00000</v>
      </c>
      <c r="G468">
        <v>400000</v>
      </c>
      <c r="H468" t="s">
        <v>10</v>
      </c>
      <c r="I468" t="str">
        <f t="shared" si="29"/>
        <v>Dimsum Ayam = 20000</v>
      </c>
      <c r="J468">
        <f t="shared" si="30"/>
        <v>11</v>
      </c>
      <c r="K468" t="str">
        <f t="shared" si="31"/>
        <v>Dimsum Ayam</v>
      </c>
    </row>
    <row r="469" spans="1:11" x14ac:dyDescent="0.25">
      <c r="A469" s="1" t="s">
        <v>40</v>
      </c>
      <c r="B469" t="s">
        <v>16</v>
      </c>
      <c r="C469" t="s">
        <v>9</v>
      </c>
      <c r="D469">
        <v>4</v>
      </c>
      <c r="E469">
        <v>18000</v>
      </c>
      <c r="F469" t="str">
        <f t="shared" si="28"/>
        <v>D 2000</v>
      </c>
      <c r="G469">
        <v>72000</v>
      </c>
      <c r="H469" t="s">
        <v>13</v>
      </c>
      <c r="I469" t="str">
        <f t="shared" si="29"/>
        <v>Dimsum Ayam Jamur = 18000</v>
      </c>
      <c r="J469">
        <f t="shared" si="30"/>
        <v>17</v>
      </c>
      <c r="K469" t="str">
        <f t="shared" si="31"/>
        <v>Dimsum Ayam Jamur</v>
      </c>
    </row>
    <row r="470" spans="1:11" x14ac:dyDescent="0.25">
      <c r="A470" s="1" t="s">
        <v>31</v>
      </c>
      <c r="B470" t="s">
        <v>26</v>
      </c>
      <c r="C470" t="s">
        <v>9</v>
      </c>
      <c r="D470">
        <v>16</v>
      </c>
      <c r="E470">
        <v>12000</v>
      </c>
      <c r="F470" t="str">
        <f t="shared" si="28"/>
        <v>D 92000</v>
      </c>
      <c r="G470">
        <v>192000</v>
      </c>
      <c r="H470" t="s">
        <v>18</v>
      </c>
      <c r="I470" t="str">
        <f t="shared" si="29"/>
        <v>Dimsum Kepiting = 12000</v>
      </c>
      <c r="J470">
        <f t="shared" si="30"/>
        <v>15</v>
      </c>
      <c r="K470" t="str">
        <f t="shared" si="31"/>
        <v>Dimsum Kepiting</v>
      </c>
    </row>
    <row r="471" spans="1:11" x14ac:dyDescent="0.25">
      <c r="A471" s="1" t="s">
        <v>44</v>
      </c>
      <c r="B471" t="s">
        <v>22</v>
      </c>
      <c r="C471" t="s">
        <v>9</v>
      </c>
      <c r="D471">
        <v>9</v>
      </c>
      <c r="E471">
        <v>15000</v>
      </c>
      <c r="F471" t="str">
        <f t="shared" si="28"/>
        <v>D 35000</v>
      </c>
      <c r="G471">
        <v>135000</v>
      </c>
      <c r="H471" t="s">
        <v>13</v>
      </c>
      <c r="I471" t="str">
        <f t="shared" si="29"/>
        <v>Dimsum Nori = 15000</v>
      </c>
      <c r="J471">
        <f t="shared" si="30"/>
        <v>11</v>
      </c>
      <c r="K471" t="str">
        <f t="shared" si="31"/>
        <v>Dimsum Nori</v>
      </c>
    </row>
    <row r="472" spans="1:11" x14ac:dyDescent="0.25">
      <c r="A472" s="1" t="s">
        <v>25</v>
      </c>
      <c r="B472" t="s">
        <v>8</v>
      </c>
      <c r="C472" t="s">
        <v>9</v>
      </c>
      <c r="D472">
        <v>8</v>
      </c>
      <c r="E472">
        <v>18000</v>
      </c>
      <c r="F472" t="str">
        <f t="shared" si="28"/>
        <v>D 44000</v>
      </c>
      <c r="G472">
        <v>144000</v>
      </c>
      <c r="H472" t="s">
        <v>18</v>
      </c>
      <c r="I472" t="str">
        <f t="shared" si="29"/>
        <v>Dimsum Ayam = 18000</v>
      </c>
      <c r="J472">
        <f t="shared" si="30"/>
        <v>11</v>
      </c>
      <c r="K472" t="str">
        <f t="shared" si="31"/>
        <v>Dimsum Ayam</v>
      </c>
    </row>
    <row r="473" spans="1:11" x14ac:dyDescent="0.25">
      <c r="A473" s="1" t="s">
        <v>56</v>
      </c>
      <c r="B473" t="s">
        <v>12</v>
      </c>
      <c r="C473" t="s">
        <v>9</v>
      </c>
      <c r="D473">
        <v>2</v>
      </c>
      <c r="E473">
        <v>15000</v>
      </c>
      <c r="F473" t="str">
        <f t="shared" si="28"/>
        <v>D 0000</v>
      </c>
      <c r="G473">
        <v>30000</v>
      </c>
      <c r="H473" t="s">
        <v>13</v>
      </c>
      <c r="I473" t="str">
        <f t="shared" si="29"/>
        <v>Dimsum Udang = 15000</v>
      </c>
      <c r="J473">
        <f t="shared" si="30"/>
        <v>12</v>
      </c>
      <c r="K473" t="str">
        <f t="shared" si="31"/>
        <v>Dimsum Udang</v>
      </c>
    </row>
    <row r="474" spans="1:11" x14ac:dyDescent="0.25">
      <c r="A474" s="1" t="s">
        <v>54</v>
      </c>
      <c r="B474" t="s">
        <v>8</v>
      </c>
      <c r="C474" t="s">
        <v>9</v>
      </c>
      <c r="D474">
        <v>13</v>
      </c>
      <c r="E474">
        <v>15000</v>
      </c>
      <c r="F474" t="str">
        <f t="shared" si="28"/>
        <v>D 95000</v>
      </c>
      <c r="G474">
        <v>195000</v>
      </c>
      <c r="H474" t="s">
        <v>13</v>
      </c>
      <c r="I474" t="str">
        <f t="shared" si="29"/>
        <v>Dimsum Ayam = 15000</v>
      </c>
      <c r="J474">
        <f t="shared" si="30"/>
        <v>11</v>
      </c>
      <c r="K474" t="str">
        <f t="shared" si="31"/>
        <v>Dimsum Ayam</v>
      </c>
    </row>
    <row r="475" spans="1:11" x14ac:dyDescent="0.25">
      <c r="A475" s="1" t="s">
        <v>42</v>
      </c>
      <c r="B475" t="s">
        <v>26</v>
      </c>
      <c r="C475" t="s">
        <v>9</v>
      </c>
      <c r="D475">
        <v>14</v>
      </c>
      <c r="E475">
        <v>15000</v>
      </c>
      <c r="F475" t="str">
        <f t="shared" si="28"/>
        <v>D 10000</v>
      </c>
      <c r="G475">
        <v>210000</v>
      </c>
      <c r="H475" t="s">
        <v>18</v>
      </c>
      <c r="I475" t="str">
        <f t="shared" si="29"/>
        <v>Dimsum Kepiting = 15000</v>
      </c>
      <c r="J475">
        <f t="shared" si="30"/>
        <v>15</v>
      </c>
      <c r="K475" t="str">
        <f t="shared" si="31"/>
        <v>Dimsum Kepiting</v>
      </c>
    </row>
    <row r="476" spans="1:11" x14ac:dyDescent="0.25">
      <c r="A476" s="1" t="s">
        <v>56</v>
      </c>
      <c r="B476" t="s">
        <v>16</v>
      </c>
      <c r="C476" t="s">
        <v>9</v>
      </c>
      <c r="D476">
        <v>10</v>
      </c>
      <c r="E476">
        <v>18000</v>
      </c>
      <c r="F476" t="str">
        <f t="shared" si="28"/>
        <v>D 80000</v>
      </c>
      <c r="G476">
        <v>180000</v>
      </c>
      <c r="H476" t="s">
        <v>10</v>
      </c>
      <c r="I476" t="str">
        <f t="shared" si="29"/>
        <v>Dimsum Ayam Jamur = 18000</v>
      </c>
      <c r="J476">
        <f t="shared" si="30"/>
        <v>17</v>
      </c>
      <c r="K476" t="str">
        <f t="shared" si="31"/>
        <v>Dimsum Ayam Jamur</v>
      </c>
    </row>
    <row r="477" spans="1:11" x14ac:dyDescent="0.25">
      <c r="A477" s="1" t="s">
        <v>29</v>
      </c>
      <c r="B477" t="s">
        <v>8</v>
      </c>
      <c r="C477" t="s">
        <v>9</v>
      </c>
      <c r="D477">
        <v>6</v>
      </c>
      <c r="E477">
        <v>18000</v>
      </c>
      <c r="F477" t="str">
        <f t="shared" si="28"/>
        <v>D 08000</v>
      </c>
      <c r="G477">
        <v>108000</v>
      </c>
      <c r="H477" t="s">
        <v>10</v>
      </c>
      <c r="I477" t="str">
        <f t="shared" si="29"/>
        <v>Dimsum Ayam = 18000</v>
      </c>
      <c r="J477">
        <f t="shared" si="30"/>
        <v>11</v>
      </c>
      <c r="K477" t="str">
        <f t="shared" si="31"/>
        <v>Dimsum Ayam</v>
      </c>
    </row>
    <row r="478" spans="1:11" x14ac:dyDescent="0.25">
      <c r="A478" s="1" t="s">
        <v>39</v>
      </c>
      <c r="B478" t="s">
        <v>22</v>
      </c>
      <c r="C478" t="s">
        <v>9</v>
      </c>
      <c r="D478">
        <v>4</v>
      </c>
      <c r="E478">
        <v>12000</v>
      </c>
      <c r="F478" t="str">
        <f t="shared" si="28"/>
        <v>D 8000</v>
      </c>
      <c r="G478">
        <v>48000</v>
      </c>
      <c r="H478" t="s">
        <v>13</v>
      </c>
      <c r="I478" t="str">
        <f t="shared" si="29"/>
        <v>Dimsum Nori = 12000</v>
      </c>
      <c r="J478">
        <f t="shared" si="30"/>
        <v>11</v>
      </c>
      <c r="K478" t="str">
        <f t="shared" si="31"/>
        <v>Dimsum Nori</v>
      </c>
    </row>
    <row r="479" spans="1:11" x14ac:dyDescent="0.25">
      <c r="A479" s="1" t="s">
        <v>37</v>
      </c>
      <c r="B479" t="s">
        <v>16</v>
      </c>
      <c r="C479" t="s">
        <v>9</v>
      </c>
      <c r="D479">
        <v>17</v>
      </c>
      <c r="E479">
        <v>20000</v>
      </c>
      <c r="F479" t="str">
        <f t="shared" si="28"/>
        <v>D 40000</v>
      </c>
      <c r="G479">
        <v>340000</v>
      </c>
      <c r="H479" t="s">
        <v>18</v>
      </c>
      <c r="I479" t="str">
        <f t="shared" si="29"/>
        <v>Dimsum Ayam Jamur = 20000</v>
      </c>
      <c r="J479">
        <f t="shared" si="30"/>
        <v>17</v>
      </c>
      <c r="K479" t="str">
        <f t="shared" si="31"/>
        <v>Dimsum Ayam Jamur</v>
      </c>
    </row>
    <row r="480" spans="1:11" x14ac:dyDescent="0.25">
      <c r="A480" s="1" t="s">
        <v>24</v>
      </c>
      <c r="B480" t="s">
        <v>22</v>
      </c>
      <c r="C480" t="s">
        <v>9</v>
      </c>
      <c r="D480">
        <v>7</v>
      </c>
      <c r="E480">
        <v>12000</v>
      </c>
      <c r="F480" t="str">
        <f t="shared" si="28"/>
        <v>D 4000</v>
      </c>
      <c r="G480">
        <v>84000</v>
      </c>
      <c r="H480" t="s">
        <v>13</v>
      </c>
      <c r="I480" t="str">
        <f t="shared" si="29"/>
        <v>Dimsum Nori = 12000</v>
      </c>
      <c r="J480">
        <f t="shared" si="30"/>
        <v>11</v>
      </c>
      <c r="K480" t="str">
        <f t="shared" si="31"/>
        <v>Dimsum Nori</v>
      </c>
    </row>
    <row r="481" spans="1:11" x14ac:dyDescent="0.25">
      <c r="A481" s="1" t="s">
        <v>73</v>
      </c>
      <c r="B481" t="s">
        <v>26</v>
      </c>
      <c r="C481" t="s">
        <v>9</v>
      </c>
      <c r="D481">
        <v>19</v>
      </c>
      <c r="E481">
        <v>15000</v>
      </c>
      <c r="F481" t="str">
        <f t="shared" si="28"/>
        <v>D 85000</v>
      </c>
      <c r="G481">
        <v>285000</v>
      </c>
      <c r="H481" t="s">
        <v>13</v>
      </c>
      <c r="I481" t="str">
        <f t="shared" si="29"/>
        <v>Dimsum Kepiting = 15000</v>
      </c>
      <c r="J481">
        <f t="shared" si="30"/>
        <v>15</v>
      </c>
      <c r="K481" t="str">
        <f t="shared" si="31"/>
        <v>Dimsum Kepiting</v>
      </c>
    </row>
    <row r="482" spans="1:11" x14ac:dyDescent="0.25">
      <c r="A482" s="1" t="s">
        <v>32</v>
      </c>
      <c r="B482" t="s">
        <v>12</v>
      </c>
      <c r="C482" t="s">
        <v>9</v>
      </c>
      <c r="D482">
        <v>8</v>
      </c>
      <c r="E482">
        <v>15000</v>
      </c>
      <c r="F482" t="str">
        <f t="shared" si="28"/>
        <v>D 20000</v>
      </c>
      <c r="G482">
        <v>120000</v>
      </c>
      <c r="H482" t="s">
        <v>20</v>
      </c>
      <c r="I482" t="str">
        <f t="shared" si="29"/>
        <v>Dimsum Udang = 15000</v>
      </c>
      <c r="J482">
        <f t="shared" si="30"/>
        <v>12</v>
      </c>
      <c r="K482" t="str">
        <f t="shared" si="31"/>
        <v>Dimsum Udang</v>
      </c>
    </row>
    <row r="483" spans="1:11" x14ac:dyDescent="0.25">
      <c r="A483" s="1" t="s">
        <v>75</v>
      </c>
      <c r="B483" t="s">
        <v>16</v>
      </c>
      <c r="C483" t="s">
        <v>9</v>
      </c>
      <c r="D483">
        <v>2</v>
      </c>
      <c r="E483">
        <v>20000</v>
      </c>
      <c r="F483" t="str">
        <f t="shared" si="28"/>
        <v>D 0000</v>
      </c>
      <c r="G483">
        <v>40000</v>
      </c>
      <c r="H483" t="s">
        <v>18</v>
      </c>
      <c r="I483" t="str">
        <f t="shared" si="29"/>
        <v>Dimsum Ayam Jamur = 20000</v>
      </c>
      <c r="J483">
        <f t="shared" si="30"/>
        <v>17</v>
      </c>
      <c r="K483" t="str">
        <f t="shared" si="31"/>
        <v>Dimsum Ayam Jamur</v>
      </c>
    </row>
    <row r="484" spans="1:11" x14ac:dyDescent="0.25">
      <c r="A484" s="1" t="s">
        <v>78</v>
      </c>
      <c r="B484" t="s">
        <v>8</v>
      </c>
      <c r="C484" t="s">
        <v>9</v>
      </c>
      <c r="D484">
        <v>14</v>
      </c>
      <c r="E484">
        <v>12000</v>
      </c>
      <c r="F484" t="str">
        <f t="shared" si="28"/>
        <v>D 68000</v>
      </c>
      <c r="G484">
        <v>168000</v>
      </c>
      <c r="H484" t="s">
        <v>10</v>
      </c>
      <c r="I484" t="str">
        <f t="shared" si="29"/>
        <v>Dimsum Ayam = 12000</v>
      </c>
      <c r="J484">
        <f t="shared" si="30"/>
        <v>11</v>
      </c>
      <c r="K484" t="str">
        <f t="shared" si="31"/>
        <v>Dimsum Ayam</v>
      </c>
    </row>
    <row r="485" spans="1:11" x14ac:dyDescent="0.25">
      <c r="A485" s="1" t="s">
        <v>31</v>
      </c>
      <c r="B485" t="s">
        <v>8</v>
      </c>
      <c r="C485" t="s">
        <v>9</v>
      </c>
      <c r="D485">
        <v>11</v>
      </c>
      <c r="E485">
        <v>20000</v>
      </c>
      <c r="F485" t="str">
        <f t="shared" si="28"/>
        <v>D 20000</v>
      </c>
      <c r="G485">
        <v>220000</v>
      </c>
      <c r="H485" t="s">
        <v>13</v>
      </c>
      <c r="I485" t="str">
        <f t="shared" si="29"/>
        <v>Dimsum Ayam = 20000</v>
      </c>
      <c r="J485">
        <f t="shared" si="30"/>
        <v>11</v>
      </c>
      <c r="K485" t="str">
        <f t="shared" si="31"/>
        <v>Dimsum Ayam</v>
      </c>
    </row>
    <row r="486" spans="1:11" x14ac:dyDescent="0.25">
      <c r="A486" s="1" t="s">
        <v>94</v>
      </c>
      <c r="B486" t="s">
        <v>8</v>
      </c>
      <c r="C486" t="s">
        <v>9</v>
      </c>
      <c r="D486">
        <v>4</v>
      </c>
      <c r="E486">
        <v>20000</v>
      </c>
      <c r="F486" t="str">
        <f t="shared" si="28"/>
        <v>D 0000</v>
      </c>
      <c r="G486">
        <v>80000</v>
      </c>
      <c r="H486" t="s">
        <v>20</v>
      </c>
      <c r="I486" t="str">
        <f t="shared" si="29"/>
        <v>Dimsum Ayam = 20000</v>
      </c>
      <c r="J486">
        <f t="shared" si="30"/>
        <v>11</v>
      </c>
      <c r="K486" t="str">
        <f t="shared" si="31"/>
        <v>Dimsum Ayam</v>
      </c>
    </row>
    <row r="487" spans="1:11" x14ac:dyDescent="0.25">
      <c r="A487" s="1" t="s">
        <v>86</v>
      </c>
      <c r="B487" t="s">
        <v>8</v>
      </c>
      <c r="C487" t="s">
        <v>9</v>
      </c>
      <c r="D487">
        <v>10</v>
      </c>
      <c r="E487">
        <v>18000</v>
      </c>
      <c r="F487" t="str">
        <f t="shared" si="28"/>
        <v>D 80000</v>
      </c>
      <c r="G487">
        <v>180000</v>
      </c>
      <c r="H487" t="s">
        <v>13</v>
      </c>
      <c r="I487" t="str">
        <f t="shared" si="29"/>
        <v>Dimsum Ayam = 18000</v>
      </c>
      <c r="J487">
        <f t="shared" si="30"/>
        <v>11</v>
      </c>
      <c r="K487" t="str">
        <f t="shared" si="31"/>
        <v>Dimsum Ayam</v>
      </c>
    </row>
    <row r="488" spans="1:11" x14ac:dyDescent="0.25">
      <c r="A488" s="1" t="s">
        <v>21</v>
      </c>
      <c r="B488" t="s">
        <v>22</v>
      </c>
      <c r="C488" t="s">
        <v>9</v>
      </c>
      <c r="D488">
        <v>8</v>
      </c>
      <c r="E488">
        <v>18000</v>
      </c>
      <c r="F488" t="str">
        <f t="shared" si="28"/>
        <v>D 44000</v>
      </c>
      <c r="G488">
        <v>144000</v>
      </c>
      <c r="H488" t="s">
        <v>18</v>
      </c>
      <c r="I488" t="str">
        <f t="shared" si="29"/>
        <v>Dimsum Nori = 18000</v>
      </c>
      <c r="J488">
        <f t="shared" si="30"/>
        <v>11</v>
      </c>
      <c r="K488" t="str">
        <f t="shared" si="31"/>
        <v>Dimsum Nori</v>
      </c>
    </row>
    <row r="489" spans="1:11" x14ac:dyDescent="0.25">
      <c r="A489" s="1" t="s">
        <v>47</v>
      </c>
      <c r="B489" t="s">
        <v>26</v>
      </c>
      <c r="C489" t="s">
        <v>9</v>
      </c>
      <c r="D489">
        <v>16</v>
      </c>
      <c r="E489">
        <v>15000</v>
      </c>
      <c r="F489" t="str">
        <f t="shared" si="28"/>
        <v>D 40000</v>
      </c>
      <c r="G489">
        <v>240000</v>
      </c>
      <c r="H489" t="s">
        <v>10</v>
      </c>
      <c r="I489" t="str">
        <f t="shared" si="29"/>
        <v>Dimsum Kepiting = 15000</v>
      </c>
      <c r="J489">
        <f t="shared" si="30"/>
        <v>15</v>
      </c>
      <c r="K489" t="str">
        <f t="shared" si="31"/>
        <v>Dimsum Kepiting</v>
      </c>
    </row>
    <row r="490" spans="1:11" x14ac:dyDescent="0.25">
      <c r="A490" s="1" t="s">
        <v>88</v>
      </c>
      <c r="B490" t="s">
        <v>16</v>
      </c>
      <c r="C490" t="s">
        <v>9</v>
      </c>
      <c r="D490">
        <v>1</v>
      </c>
      <c r="E490">
        <v>15000</v>
      </c>
      <c r="F490" t="str">
        <f t="shared" si="28"/>
        <v>D 5000</v>
      </c>
      <c r="G490">
        <v>15000</v>
      </c>
      <c r="H490" t="s">
        <v>20</v>
      </c>
      <c r="I490" t="str">
        <f t="shared" si="29"/>
        <v>Dimsum Ayam Jamur = 15000</v>
      </c>
      <c r="J490">
        <f t="shared" si="30"/>
        <v>17</v>
      </c>
      <c r="K490" t="str">
        <f t="shared" si="31"/>
        <v>Dimsum Ayam Jamur</v>
      </c>
    </row>
    <row r="491" spans="1:11" x14ac:dyDescent="0.25">
      <c r="A491" s="1" t="s">
        <v>58</v>
      </c>
      <c r="B491" t="s">
        <v>12</v>
      </c>
      <c r="C491" t="s">
        <v>9</v>
      </c>
      <c r="D491">
        <v>19</v>
      </c>
      <c r="E491">
        <v>20000</v>
      </c>
      <c r="F491" t="str">
        <f t="shared" si="28"/>
        <v>D 80000</v>
      </c>
      <c r="G491">
        <v>380000</v>
      </c>
      <c r="H491" t="s">
        <v>20</v>
      </c>
      <c r="I491" t="str">
        <f t="shared" si="29"/>
        <v>Dimsum Udang = 20000</v>
      </c>
      <c r="J491">
        <f t="shared" si="30"/>
        <v>12</v>
      </c>
      <c r="K491" t="str">
        <f t="shared" si="31"/>
        <v>Dimsum Udang</v>
      </c>
    </row>
    <row r="492" spans="1:11" x14ac:dyDescent="0.25">
      <c r="A492" s="1" t="s">
        <v>40</v>
      </c>
      <c r="B492" t="s">
        <v>26</v>
      </c>
      <c r="C492" t="s">
        <v>9</v>
      </c>
      <c r="D492">
        <v>16</v>
      </c>
      <c r="E492">
        <v>15000</v>
      </c>
      <c r="F492" t="str">
        <f t="shared" si="28"/>
        <v>D 40000</v>
      </c>
      <c r="G492">
        <v>240000</v>
      </c>
      <c r="H492" t="s">
        <v>20</v>
      </c>
      <c r="I492" t="str">
        <f t="shared" si="29"/>
        <v>Dimsum Kepiting = 15000</v>
      </c>
      <c r="J492">
        <f t="shared" si="30"/>
        <v>15</v>
      </c>
      <c r="K492" t="str">
        <f t="shared" si="31"/>
        <v>Dimsum Kepiting</v>
      </c>
    </row>
    <row r="493" spans="1:11" x14ac:dyDescent="0.25">
      <c r="A493" s="1" t="s">
        <v>47</v>
      </c>
      <c r="B493" t="s">
        <v>26</v>
      </c>
      <c r="C493" t="s">
        <v>9</v>
      </c>
      <c r="D493">
        <v>9</v>
      </c>
      <c r="E493">
        <v>15000</v>
      </c>
      <c r="F493" t="str">
        <f t="shared" si="28"/>
        <v>D 35000</v>
      </c>
      <c r="G493">
        <v>135000</v>
      </c>
      <c r="H493" t="s">
        <v>20</v>
      </c>
      <c r="I493" t="str">
        <f t="shared" si="29"/>
        <v>Dimsum Kepiting = 15000</v>
      </c>
      <c r="J493">
        <f t="shared" si="30"/>
        <v>15</v>
      </c>
      <c r="K493" t="str">
        <f t="shared" si="31"/>
        <v>Dimsum Kepiting</v>
      </c>
    </row>
    <row r="494" spans="1:11" x14ac:dyDescent="0.25">
      <c r="A494" s="1" t="s">
        <v>53</v>
      </c>
      <c r="B494" t="s">
        <v>8</v>
      </c>
      <c r="C494" t="s">
        <v>9</v>
      </c>
      <c r="D494">
        <v>14</v>
      </c>
      <c r="E494">
        <v>15000</v>
      </c>
      <c r="F494" t="str">
        <f t="shared" si="28"/>
        <v>D 10000</v>
      </c>
      <c r="G494">
        <v>210000</v>
      </c>
      <c r="H494" t="s">
        <v>10</v>
      </c>
      <c r="I494" t="str">
        <f t="shared" si="29"/>
        <v>Dimsum Ayam = 15000</v>
      </c>
      <c r="J494">
        <f t="shared" si="30"/>
        <v>11</v>
      </c>
      <c r="K494" t="str">
        <f t="shared" si="31"/>
        <v>Dimsum Ayam</v>
      </c>
    </row>
    <row r="495" spans="1:11" x14ac:dyDescent="0.25">
      <c r="A495" s="1" t="s">
        <v>40</v>
      </c>
      <c r="B495" t="s">
        <v>8</v>
      </c>
      <c r="C495" t="s">
        <v>9</v>
      </c>
      <c r="D495">
        <v>15</v>
      </c>
      <c r="E495">
        <v>20000</v>
      </c>
      <c r="F495" t="str">
        <f t="shared" si="28"/>
        <v>D 00000</v>
      </c>
      <c r="G495">
        <v>300000</v>
      </c>
      <c r="H495" t="s">
        <v>13</v>
      </c>
      <c r="I495" t="str">
        <f t="shared" si="29"/>
        <v>Dimsum Ayam = 20000</v>
      </c>
      <c r="J495">
        <f t="shared" si="30"/>
        <v>11</v>
      </c>
      <c r="K495" t="str">
        <f t="shared" si="31"/>
        <v>Dimsum Ayam</v>
      </c>
    </row>
    <row r="496" spans="1:11" x14ac:dyDescent="0.25">
      <c r="A496" s="1" t="s">
        <v>28</v>
      </c>
      <c r="B496" t="s">
        <v>8</v>
      </c>
      <c r="C496" t="s">
        <v>9</v>
      </c>
      <c r="D496">
        <v>14</v>
      </c>
      <c r="E496">
        <v>18000</v>
      </c>
      <c r="F496" t="str">
        <f t="shared" si="28"/>
        <v>D 52000</v>
      </c>
      <c r="G496">
        <v>252000</v>
      </c>
      <c r="H496" t="s">
        <v>18</v>
      </c>
      <c r="I496" t="str">
        <f t="shared" si="29"/>
        <v>Dimsum Ayam = 18000</v>
      </c>
      <c r="J496">
        <f t="shared" si="30"/>
        <v>11</v>
      </c>
      <c r="K496" t="str">
        <f t="shared" si="31"/>
        <v>Dimsum Ayam</v>
      </c>
    </row>
    <row r="497" spans="1:11" x14ac:dyDescent="0.25">
      <c r="A497" s="1" t="s">
        <v>80</v>
      </c>
      <c r="B497" t="s">
        <v>26</v>
      </c>
      <c r="C497" t="s">
        <v>9</v>
      </c>
      <c r="D497">
        <v>13</v>
      </c>
      <c r="E497">
        <v>12000</v>
      </c>
      <c r="F497" t="str">
        <f t="shared" si="28"/>
        <v>D 56000</v>
      </c>
      <c r="G497">
        <v>156000</v>
      </c>
      <c r="H497" t="s">
        <v>20</v>
      </c>
      <c r="I497" t="str">
        <f t="shared" si="29"/>
        <v>Dimsum Kepiting = 12000</v>
      </c>
      <c r="J497">
        <f t="shared" si="30"/>
        <v>15</v>
      </c>
      <c r="K497" t="str">
        <f t="shared" si="31"/>
        <v>Dimsum Kepiting</v>
      </c>
    </row>
    <row r="498" spans="1:11" x14ac:dyDescent="0.25">
      <c r="A498" s="1" t="s">
        <v>41</v>
      </c>
      <c r="B498" t="s">
        <v>8</v>
      </c>
      <c r="C498" t="s">
        <v>9</v>
      </c>
      <c r="D498">
        <v>7</v>
      </c>
      <c r="E498">
        <v>20000</v>
      </c>
      <c r="F498" t="str">
        <f t="shared" si="28"/>
        <v>D 40000</v>
      </c>
      <c r="G498">
        <v>140000</v>
      </c>
      <c r="H498" t="s">
        <v>20</v>
      </c>
      <c r="I498" t="str">
        <f t="shared" si="29"/>
        <v>Dimsum Ayam = 20000</v>
      </c>
      <c r="J498">
        <f t="shared" si="30"/>
        <v>11</v>
      </c>
      <c r="K498" t="str">
        <f t="shared" si="31"/>
        <v>Dimsum Ayam</v>
      </c>
    </row>
    <row r="499" spans="1:11" x14ac:dyDescent="0.25">
      <c r="A499" s="1" t="s">
        <v>101</v>
      </c>
      <c r="B499" t="s">
        <v>16</v>
      </c>
      <c r="C499" t="s">
        <v>9</v>
      </c>
      <c r="D499">
        <v>17</v>
      </c>
      <c r="E499">
        <v>20000</v>
      </c>
      <c r="F499" t="str">
        <f t="shared" si="28"/>
        <v>D 40000</v>
      </c>
      <c r="G499">
        <v>340000</v>
      </c>
      <c r="H499" t="s">
        <v>20</v>
      </c>
      <c r="I499" t="str">
        <f t="shared" si="29"/>
        <v>Dimsum Ayam Jamur = 20000</v>
      </c>
      <c r="J499">
        <f t="shared" si="30"/>
        <v>17</v>
      </c>
      <c r="K499" t="str">
        <f t="shared" si="31"/>
        <v>Dimsum Ayam Jamur</v>
      </c>
    </row>
    <row r="500" spans="1:11" x14ac:dyDescent="0.25">
      <c r="A500" s="1" t="s">
        <v>42</v>
      </c>
      <c r="B500" t="s">
        <v>8</v>
      </c>
      <c r="C500" t="s">
        <v>9</v>
      </c>
      <c r="D500">
        <v>2</v>
      </c>
      <c r="E500">
        <v>12000</v>
      </c>
      <c r="F500" t="str">
        <f t="shared" si="28"/>
        <v>D 4000</v>
      </c>
      <c r="G500">
        <v>24000</v>
      </c>
      <c r="H500" t="s">
        <v>18</v>
      </c>
      <c r="I500" t="str">
        <f t="shared" si="29"/>
        <v>Dimsum Ayam = 12000</v>
      </c>
      <c r="J500">
        <f t="shared" si="30"/>
        <v>11</v>
      </c>
      <c r="K500" t="str">
        <f t="shared" si="31"/>
        <v>Dimsum Ayam</v>
      </c>
    </row>
    <row r="501" spans="1:11" x14ac:dyDescent="0.25">
      <c r="A501" s="1" t="s">
        <v>66</v>
      </c>
      <c r="B501" t="s">
        <v>16</v>
      </c>
      <c r="C501" t="s">
        <v>9</v>
      </c>
      <c r="D501">
        <v>18</v>
      </c>
      <c r="E501">
        <v>15000</v>
      </c>
      <c r="F501" t="str">
        <f t="shared" si="28"/>
        <v>D 70000</v>
      </c>
      <c r="G501">
        <v>270000</v>
      </c>
      <c r="H501" t="s">
        <v>10</v>
      </c>
      <c r="I501" t="str">
        <f t="shared" si="29"/>
        <v>Dimsum Ayam Jamur = 15000</v>
      </c>
      <c r="J501">
        <f t="shared" si="30"/>
        <v>17</v>
      </c>
      <c r="K501" t="str">
        <f t="shared" si="31"/>
        <v>Dimsum Ayam Jamur</v>
      </c>
    </row>
  </sheetData>
  <autoFilter ref="A1:K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AA492-6E37-4243-9B12-4A21523DC63A}">
  <dimension ref="A1:B29"/>
  <sheetViews>
    <sheetView zoomScale="122" workbookViewId="0">
      <selection activeCell="D15" sqref="D15"/>
    </sheetView>
  </sheetViews>
  <sheetFormatPr defaultRowHeight="15" x14ac:dyDescent="0.25"/>
  <cols>
    <col min="1" max="1" width="22.42578125" bestFit="1" customWidth="1"/>
    <col min="2" max="2" width="23" bestFit="1" customWidth="1"/>
    <col min="3" max="3" width="19.7109375" bestFit="1" customWidth="1"/>
    <col min="4" max="4" width="16.28515625" bestFit="1" customWidth="1"/>
    <col min="5" max="5" width="12.5703125" bestFit="1" customWidth="1"/>
    <col min="6" max="6" width="14.5703125" bestFit="1" customWidth="1"/>
    <col min="7" max="7" width="11.28515625" bestFit="1" customWidth="1"/>
  </cols>
  <sheetData>
    <row r="1" spans="1:2" x14ac:dyDescent="0.25">
      <c r="A1" s="2" t="s">
        <v>0</v>
      </c>
      <c r="B1" t="s">
        <v>114</v>
      </c>
    </row>
    <row r="3" spans="1:2" x14ac:dyDescent="0.25">
      <c r="A3" s="2" t="s">
        <v>111</v>
      </c>
      <c r="B3" t="s">
        <v>113</v>
      </c>
    </row>
    <row r="4" spans="1:2" x14ac:dyDescent="0.25">
      <c r="A4" s="3" t="s">
        <v>16</v>
      </c>
      <c r="B4" s="5">
        <v>0.22635264951967771</v>
      </c>
    </row>
    <row r="5" spans="1:2" x14ac:dyDescent="0.25">
      <c r="A5" s="4" t="s">
        <v>18</v>
      </c>
      <c r="B5" s="5">
        <v>6.5286643941741551E-2</v>
      </c>
    </row>
    <row r="6" spans="1:2" x14ac:dyDescent="0.25">
      <c r="A6" s="4" t="s">
        <v>10</v>
      </c>
      <c r="B6" s="5">
        <v>5.7663464518128295E-2</v>
      </c>
    </row>
    <row r="7" spans="1:2" x14ac:dyDescent="0.25">
      <c r="A7" s="4" t="s">
        <v>20</v>
      </c>
      <c r="B7" s="5">
        <v>5.2246668732568946E-2</v>
      </c>
    </row>
    <row r="8" spans="1:2" x14ac:dyDescent="0.25">
      <c r="A8" s="4" t="s">
        <v>13</v>
      </c>
      <c r="B8" s="5">
        <v>5.1155872327238922E-2</v>
      </c>
    </row>
    <row r="9" spans="1:2" x14ac:dyDescent="0.25">
      <c r="A9" s="3" t="s">
        <v>26</v>
      </c>
      <c r="B9" s="5">
        <v>0.21315153393244499</v>
      </c>
    </row>
    <row r="10" spans="1:2" x14ac:dyDescent="0.25">
      <c r="A10" s="4" t="s">
        <v>10</v>
      </c>
      <c r="B10" s="5">
        <v>6.2510071273628759E-2</v>
      </c>
    </row>
    <row r="11" spans="1:2" x14ac:dyDescent="0.25">
      <c r="A11" s="4" t="s">
        <v>18</v>
      </c>
      <c r="B11" s="5">
        <v>5.6746203904555315E-2</v>
      </c>
    </row>
    <row r="12" spans="1:2" x14ac:dyDescent="0.25">
      <c r="A12" s="4" t="s">
        <v>13</v>
      </c>
      <c r="B12" s="5">
        <v>5.177564301208553E-2</v>
      </c>
    </row>
    <row r="13" spans="1:2" x14ac:dyDescent="0.25">
      <c r="A13" s="4" t="s">
        <v>20</v>
      </c>
      <c r="B13" s="5">
        <v>4.2119615742175397E-2</v>
      </c>
    </row>
    <row r="14" spans="1:2" x14ac:dyDescent="0.25">
      <c r="A14" s="3" t="s">
        <v>8</v>
      </c>
      <c r="B14" s="5">
        <v>0.20678029129222189</v>
      </c>
    </row>
    <row r="15" spans="1:2" x14ac:dyDescent="0.25">
      <c r="A15" s="4" t="s">
        <v>10</v>
      </c>
      <c r="B15" s="5">
        <v>7.1843817787418648E-2</v>
      </c>
    </row>
    <row r="16" spans="1:2" x14ac:dyDescent="0.25">
      <c r="A16" s="4" t="s">
        <v>18</v>
      </c>
      <c r="B16" s="5">
        <v>5.461419274868299E-2</v>
      </c>
    </row>
    <row r="17" spans="1:2" x14ac:dyDescent="0.25">
      <c r="A17" s="4" t="s">
        <v>13</v>
      </c>
      <c r="B17" s="5">
        <v>4.9594050201425474E-2</v>
      </c>
    </row>
    <row r="18" spans="1:2" x14ac:dyDescent="0.25">
      <c r="A18" s="4" t="s">
        <v>20</v>
      </c>
      <c r="B18" s="5">
        <v>3.0728230554694765E-2</v>
      </c>
    </row>
    <row r="19" spans="1:2" x14ac:dyDescent="0.25">
      <c r="A19" s="3" t="s">
        <v>22</v>
      </c>
      <c r="B19" s="5">
        <v>0.18094824914781532</v>
      </c>
    </row>
    <row r="20" spans="1:2" x14ac:dyDescent="0.25">
      <c r="A20" s="4" t="s">
        <v>13</v>
      </c>
      <c r="B20" s="5">
        <v>7.0182832352029753E-2</v>
      </c>
    </row>
    <row r="21" spans="1:2" x14ac:dyDescent="0.25">
      <c r="A21" s="4" t="s">
        <v>18</v>
      </c>
      <c r="B21" s="5">
        <v>3.7173845677099471E-2</v>
      </c>
    </row>
    <row r="22" spans="1:2" x14ac:dyDescent="0.25">
      <c r="A22" s="4" t="s">
        <v>20</v>
      </c>
      <c r="B22" s="5">
        <v>3.698791447164549E-2</v>
      </c>
    </row>
    <row r="23" spans="1:2" x14ac:dyDescent="0.25">
      <c r="A23" s="4" t="s">
        <v>10</v>
      </c>
      <c r="B23" s="5">
        <v>3.6603656647040593E-2</v>
      </c>
    </row>
    <row r="24" spans="1:2" x14ac:dyDescent="0.25">
      <c r="A24" s="3" t="s">
        <v>12</v>
      </c>
      <c r="B24" s="5">
        <v>0.1727672761078401</v>
      </c>
    </row>
    <row r="25" spans="1:2" x14ac:dyDescent="0.25">
      <c r="A25" s="4" t="s">
        <v>20</v>
      </c>
      <c r="B25" s="5">
        <v>5.9572358227455845E-2</v>
      </c>
    </row>
    <row r="26" spans="1:2" x14ac:dyDescent="0.25">
      <c r="A26" s="4" t="s">
        <v>18</v>
      </c>
      <c r="B26" s="5">
        <v>3.9305856832971803E-2</v>
      </c>
    </row>
    <row r="27" spans="1:2" x14ac:dyDescent="0.25">
      <c r="A27" s="4" t="s">
        <v>13</v>
      </c>
      <c r="B27" s="5">
        <v>3.877285404400372E-2</v>
      </c>
    </row>
    <row r="28" spans="1:2" x14ac:dyDescent="0.25">
      <c r="A28" s="4" t="s">
        <v>10</v>
      </c>
      <c r="B28" s="5">
        <v>3.5116207003408742E-2</v>
      </c>
    </row>
    <row r="29" spans="1:2" x14ac:dyDescent="0.25">
      <c r="A29" s="3" t="s">
        <v>112</v>
      </c>
      <c r="B29"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78A1-C18A-454A-9B59-8BE616E9EDEC}">
  <dimension ref="B2:H18"/>
  <sheetViews>
    <sheetView zoomScale="115" zoomScaleNormal="115" workbookViewId="0">
      <selection activeCell="E14" sqref="E14"/>
    </sheetView>
  </sheetViews>
  <sheetFormatPr defaultRowHeight="15" x14ac:dyDescent="0.25"/>
  <cols>
    <col min="2" max="2" width="18.28515625" customWidth="1"/>
    <col min="4" max="4" width="15.42578125" bestFit="1" customWidth="1"/>
    <col min="5" max="5" width="10.42578125" customWidth="1"/>
    <col min="6" max="6" width="9.140625" customWidth="1"/>
    <col min="7" max="7" width="15.42578125" bestFit="1" customWidth="1"/>
    <col min="8" max="8" width="13.7109375" bestFit="1" customWidth="1"/>
  </cols>
  <sheetData>
    <row r="2" spans="2:8" x14ac:dyDescent="0.25">
      <c r="B2" t="s">
        <v>115</v>
      </c>
    </row>
    <row r="4" spans="2:8" x14ac:dyDescent="0.25">
      <c r="B4" s="6" t="s">
        <v>116</v>
      </c>
      <c r="C4" s="7"/>
      <c r="E4" s="6" t="s">
        <v>124</v>
      </c>
      <c r="F4" s="12"/>
      <c r="G4" s="12"/>
      <c r="H4" s="7"/>
    </row>
    <row r="5" spans="2:8" x14ac:dyDescent="0.25">
      <c r="B5" s="8" t="s">
        <v>117</v>
      </c>
      <c r="C5" s="9" t="s">
        <v>118</v>
      </c>
      <c r="E5" s="8" t="s">
        <v>125</v>
      </c>
      <c r="F5" s="13" t="s">
        <v>117</v>
      </c>
      <c r="G5" s="13" t="s">
        <v>126</v>
      </c>
      <c r="H5" s="9" t="s">
        <v>127</v>
      </c>
    </row>
    <row r="6" spans="2:8" x14ac:dyDescent="0.25">
      <c r="B6" s="8">
        <v>101</v>
      </c>
      <c r="C6" s="9" t="s">
        <v>119</v>
      </c>
      <c r="E6" s="8">
        <v>1</v>
      </c>
      <c r="F6" s="13">
        <v>102</v>
      </c>
      <c r="G6" s="13">
        <v>50</v>
      </c>
      <c r="H6" s="9" t="s">
        <v>128</v>
      </c>
    </row>
    <row r="7" spans="2:8" x14ac:dyDescent="0.25">
      <c r="B7" s="8">
        <v>102</v>
      </c>
      <c r="C7" s="9" t="s">
        <v>120</v>
      </c>
      <c r="E7" s="8">
        <v>2</v>
      </c>
      <c r="F7" s="13">
        <v>103</v>
      </c>
      <c r="G7" s="13">
        <v>30</v>
      </c>
      <c r="H7" s="9" t="s">
        <v>129</v>
      </c>
    </row>
    <row r="8" spans="2:8" x14ac:dyDescent="0.25">
      <c r="B8" s="8">
        <v>103</v>
      </c>
      <c r="C8" s="9" t="s">
        <v>121</v>
      </c>
      <c r="E8" s="8">
        <v>3</v>
      </c>
      <c r="F8" s="13">
        <v>101</v>
      </c>
      <c r="G8" s="13">
        <v>25</v>
      </c>
      <c r="H8" s="9" t="s">
        <v>130</v>
      </c>
    </row>
    <row r="9" spans="2:8" x14ac:dyDescent="0.25">
      <c r="B9" s="8">
        <v>104</v>
      </c>
      <c r="C9" s="9" t="s">
        <v>122</v>
      </c>
      <c r="E9" s="10">
        <v>4</v>
      </c>
      <c r="F9" s="14">
        <v>104</v>
      </c>
      <c r="G9" s="14">
        <v>40</v>
      </c>
      <c r="H9" s="11" t="s">
        <v>131</v>
      </c>
    </row>
    <row r="10" spans="2:8" x14ac:dyDescent="0.25">
      <c r="B10" s="10">
        <v>105</v>
      </c>
      <c r="C10" s="11" t="s">
        <v>123</v>
      </c>
    </row>
    <row r="12" spans="2:8" x14ac:dyDescent="0.25">
      <c r="D12" t="s">
        <v>132</v>
      </c>
    </row>
    <row r="13" spans="2:8" x14ac:dyDescent="0.25">
      <c r="B13" s="13" t="s">
        <v>117</v>
      </c>
      <c r="C13" s="13" t="s">
        <v>118</v>
      </c>
      <c r="D13" t="s">
        <v>126</v>
      </c>
    </row>
    <row r="14" spans="2:8" x14ac:dyDescent="0.25">
      <c r="B14" s="13">
        <v>101</v>
      </c>
      <c r="C14" s="13" t="s">
        <v>119</v>
      </c>
      <c r="D14">
        <f>VLOOKUP(B14,$F$6:$G$9,2,0)</f>
        <v>25</v>
      </c>
    </row>
    <row r="15" spans="2:8" x14ac:dyDescent="0.25">
      <c r="B15" s="13">
        <v>102</v>
      </c>
      <c r="C15" s="13" t="s">
        <v>120</v>
      </c>
      <c r="D15">
        <f t="shared" ref="D15:D17" si="0">VLOOKUP(B15,$F$6:$G$9,2,0)</f>
        <v>50</v>
      </c>
    </row>
    <row r="16" spans="2:8" x14ac:dyDescent="0.25">
      <c r="B16" s="13">
        <v>103</v>
      </c>
      <c r="C16" s="13" t="s">
        <v>121</v>
      </c>
      <c r="D16">
        <f t="shared" si="0"/>
        <v>30</v>
      </c>
    </row>
    <row r="17" spans="2:4" x14ac:dyDescent="0.25">
      <c r="B17" s="13">
        <v>104</v>
      </c>
      <c r="C17" s="13" t="s">
        <v>122</v>
      </c>
      <c r="D17">
        <f t="shared" si="0"/>
        <v>40</v>
      </c>
    </row>
    <row r="18" spans="2:4" x14ac:dyDescent="0.25">
      <c r="B18" s="13">
        <v>105</v>
      </c>
      <c r="C18" s="13" t="s">
        <v>123</v>
      </c>
      <c r="D18">
        <f>_xlfn.IFNA(VLOOKUP(B18,$F$6:$G$9,2,0),0)</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2ECD4-7F0B-4F3E-B36E-26AA3411ED26}">
  <dimension ref="A1:N501"/>
  <sheetViews>
    <sheetView zoomScale="132" workbookViewId="0">
      <selection activeCell="N7" sqref="N7"/>
    </sheetView>
  </sheetViews>
  <sheetFormatPr defaultRowHeight="15" x14ac:dyDescent="0.25"/>
  <cols>
    <col min="1" max="1" width="11.140625" bestFit="1" customWidth="1"/>
    <col min="2" max="2" width="11.42578125" bestFit="1" customWidth="1"/>
    <col min="3" max="3" width="11.42578125" customWidth="1"/>
    <col min="4" max="4" width="14.7109375" bestFit="1" customWidth="1"/>
    <col min="5" max="5" width="19.7109375" bestFit="1" customWidth="1"/>
    <col min="6" max="6" width="10.7109375" bestFit="1" customWidth="1"/>
    <col min="7" max="7" width="16.28515625" bestFit="1" customWidth="1"/>
    <col min="8" max="8" width="14.7109375" bestFit="1" customWidth="1"/>
    <col min="9" max="9" width="17.140625" bestFit="1" customWidth="1"/>
    <col min="10" max="10" width="22" bestFit="1" customWidth="1"/>
    <col min="14" max="14" width="119.85546875" bestFit="1" customWidth="1"/>
  </cols>
  <sheetData>
    <row r="1" spans="1:14" x14ac:dyDescent="0.25">
      <c r="A1" s="1" t="s">
        <v>0</v>
      </c>
      <c r="B1" s="1" t="s">
        <v>141</v>
      </c>
      <c r="C1" s="1" t="s">
        <v>150</v>
      </c>
      <c r="D1" s="1" t="s">
        <v>142</v>
      </c>
      <c r="E1" t="s">
        <v>1</v>
      </c>
      <c r="F1" t="s">
        <v>2</v>
      </c>
      <c r="G1" t="s">
        <v>3</v>
      </c>
      <c r="H1" t="s">
        <v>4</v>
      </c>
      <c r="I1" t="s">
        <v>5</v>
      </c>
      <c r="J1" t="s">
        <v>6</v>
      </c>
    </row>
    <row r="2" spans="1:14" x14ac:dyDescent="0.25">
      <c r="A2" s="1" t="s">
        <v>7</v>
      </c>
      <c r="B2" s="1" t="str">
        <f>TEXT(A2,"DDDD")</f>
        <v>Friday</v>
      </c>
      <c r="C2" s="1" t="str">
        <f>TEXT(Penjualan_Dimsum[[#This Row],[Tanggal]],"mmmm")</f>
        <v>June</v>
      </c>
      <c r="D2" s="1" t="str">
        <f>IF(OR(B2="Saturday",B2="Sunday"),"Weekend","Weekday")</f>
        <v>Weekday</v>
      </c>
      <c r="E2" t="s">
        <v>8</v>
      </c>
      <c r="F2" t="s">
        <v>9</v>
      </c>
      <c r="G2">
        <v>9</v>
      </c>
      <c r="H2">
        <v>15000</v>
      </c>
      <c r="I2">
        <v>135000</v>
      </c>
      <c r="J2" t="s">
        <v>10</v>
      </c>
      <c r="N2" t="s">
        <v>133</v>
      </c>
    </row>
    <row r="3" spans="1:14" x14ac:dyDescent="0.25">
      <c r="A3" s="1" t="s">
        <v>11</v>
      </c>
      <c r="B3" s="1" t="str">
        <f t="shared" ref="B3:B66" si="0">TEXT(A3,"DDDD")</f>
        <v>Wednesday</v>
      </c>
      <c r="C3" s="1" t="str">
        <f>TEXT(Penjualan_Dimsum[[#This Row],[Tanggal]],"mmmm")</f>
        <v>April</v>
      </c>
      <c r="D3" s="1" t="str">
        <f t="shared" ref="D3:D66" si="1">IF(OR(B3="Saturday",B3="Sunday"),"Weekend","Weekday")</f>
        <v>Weekday</v>
      </c>
      <c r="E3" t="s">
        <v>12</v>
      </c>
      <c r="F3" t="s">
        <v>9</v>
      </c>
      <c r="G3">
        <v>3</v>
      </c>
      <c r="H3">
        <v>18000</v>
      </c>
      <c r="I3">
        <v>54000</v>
      </c>
      <c r="J3" t="s">
        <v>13</v>
      </c>
      <c r="N3" t="s">
        <v>134</v>
      </c>
    </row>
    <row r="4" spans="1:14" x14ac:dyDescent="0.25">
      <c r="A4" s="1" t="s">
        <v>14</v>
      </c>
      <c r="B4" s="1" t="str">
        <f t="shared" si="0"/>
        <v>Monday</v>
      </c>
      <c r="C4" s="1" t="str">
        <f>TEXT(Penjualan_Dimsum[[#This Row],[Tanggal]],"mmmm")</f>
        <v>June</v>
      </c>
      <c r="D4" s="1" t="str">
        <f t="shared" si="1"/>
        <v>Weekday</v>
      </c>
      <c r="E4" t="s">
        <v>12</v>
      </c>
      <c r="F4" t="s">
        <v>9</v>
      </c>
      <c r="G4">
        <v>17</v>
      </c>
      <c r="H4">
        <v>18000</v>
      </c>
      <c r="I4">
        <v>306000</v>
      </c>
      <c r="J4" t="s">
        <v>10</v>
      </c>
      <c r="N4" t="s">
        <v>135</v>
      </c>
    </row>
    <row r="5" spans="1:14" x14ac:dyDescent="0.25">
      <c r="A5" s="1" t="s">
        <v>15</v>
      </c>
      <c r="B5" s="1" t="str">
        <f t="shared" si="0"/>
        <v>Friday</v>
      </c>
      <c r="C5" s="1" t="str">
        <f>TEXT(Penjualan_Dimsum[[#This Row],[Tanggal]],"mmmm")</f>
        <v>June</v>
      </c>
      <c r="D5" s="1" t="str">
        <f t="shared" si="1"/>
        <v>Weekday</v>
      </c>
      <c r="E5" t="s">
        <v>16</v>
      </c>
      <c r="F5" t="s">
        <v>9</v>
      </c>
      <c r="G5">
        <v>9</v>
      </c>
      <c r="H5">
        <v>15000</v>
      </c>
      <c r="I5">
        <v>135000</v>
      </c>
      <c r="J5" t="s">
        <v>10</v>
      </c>
      <c r="N5" t="s">
        <v>136</v>
      </c>
    </row>
    <row r="6" spans="1:14" x14ac:dyDescent="0.25">
      <c r="A6" s="1" t="s">
        <v>17</v>
      </c>
      <c r="B6" s="1" t="str">
        <f t="shared" si="0"/>
        <v>Wednesday</v>
      </c>
      <c r="C6" s="1" t="str">
        <f>TEXT(Penjualan_Dimsum[[#This Row],[Tanggal]],"mmmm")</f>
        <v>May</v>
      </c>
      <c r="D6" s="1" t="str">
        <f t="shared" si="1"/>
        <v>Weekday</v>
      </c>
      <c r="E6" t="s">
        <v>8</v>
      </c>
      <c r="F6" t="s">
        <v>9</v>
      </c>
      <c r="G6">
        <v>17</v>
      </c>
      <c r="H6">
        <v>15000</v>
      </c>
      <c r="I6">
        <v>255000</v>
      </c>
      <c r="J6" t="s">
        <v>18</v>
      </c>
      <c r="N6" t="s">
        <v>137</v>
      </c>
    </row>
    <row r="7" spans="1:14" x14ac:dyDescent="0.25">
      <c r="A7" s="1" t="s">
        <v>19</v>
      </c>
      <c r="B7" s="1" t="str">
        <f t="shared" si="0"/>
        <v>Tuesday</v>
      </c>
      <c r="C7" s="1" t="str">
        <f>TEXT(Penjualan_Dimsum[[#This Row],[Tanggal]],"mmmm")</f>
        <v>June</v>
      </c>
      <c r="D7" s="1" t="str">
        <f t="shared" si="1"/>
        <v>Weekday</v>
      </c>
      <c r="E7" t="s">
        <v>12</v>
      </c>
      <c r="F7" t="s">
        <v>9</v>
      </c>
      <c r="G7">
        <v>10</v>
      </c>
      <c r="H7">
        <v>20000</v>
      </c>
      <c r="I7">
        <v>200000</v>
      </c>
      <c r="J7" t="s">
        <v>20</v>
      </c>
      <c r="N7" t="s">
        <v>138</v>
      </c>
    </row>
    <row r="8" spans="1:14" x14ac:dyDescent="0.25">
      <c r="A8" s="1" t="s">
        <v>21</v>
      </c>
      <c r="B8" s="1" t="str">
        <f t="shared" si="0"/>
        <v>Thursday</v>
      </c>
      <c r="C8" s="1" t="str">
        <f>TEXT(Penjualan_Dimsum[[#This Row],[Tanggal]],"mmmm")</f>
        <v>May</v>
      </c>
      <c r="D8" s="1" t="str">
        <f t="shared" si="1"/>
        <v>Weekday</v>
      </c>
      <c r="E8" t="s">
        <v>8</v>
      </c>
      <c r="F8" t="s">
        <v>9</v>
      </c>
      <c r="G8">
        <v>9</v>
      </c>
      <c r="H8">
        <v>15000</v>
      </c>
      <c r="I8">
        <v>135000</v>
      </c>
      <c r="J8" t="s">
        <v>13</v>
      </c>
    </row>
    <row r="9" spans="1:14" x14ac:dyDescent="0.25">
      <c r="A9" s="1" t="s">
        <v>11</v>
      </c>
      <c r="B9" s="1" t="str">
        <f t="shared" si="0"/>
        <v>Wednesday</v>
      </c>
      <c r="C9" s="1" t="str">
        <f>TEXT(Penjualan_Dimsum[[#This Row],[Tanggal]],"mmmm")</f>
        <v>April</v>
      </c>
      <c r="D9" s="1" t="str">
        <f t="shared" si="1"/>
        <v>Weekday</v>
      </c>
      <c r="E9" t="s">
        <v>22</v>
      </c>
      <c r="F9" t="s">
        <v>9</v>
      </c>
      <c r="G9">
        <v>16</v>
      </c>
      <c r="H9">
        <v>15000</v>
      </c>
      <c r="I9">
        <v>240000</v>
      </c>
      <c r="J9" t="s">
        <v>18</v>
      </c>
    </row>
    <row r="10" spans="1:14" x14ac:dyDescent="0.25">
      <c r="A10" s="1" t="s">
        <v>23</v>
      </c>
      <c r="B10" s="1" t="str">
        <f t="shared" si="0"/>
        <v>Friday</v>
      </c>
      <c r="C10" s="1" t="str">
        <f>TEXT(Penjualan_Dimsum[[#This Row],[Tanggal]],"mmmm")</f>
        <v>June</v>
      </c>
      <c r="D10" s="1" t="str">
        <f t="shared" si="1"/>
        <v>Weekday</v>
      </c>
      <c r="E10" t="s">
        <v>16</v>
      </c>
      <c r="F10" t="s">
        <v>9</v>
      </c>
      <c r="G10">
        <v>4</v>
      </c>
      <c r="H10">
        <v>15000</v>
      </c>
      <c r="I10">
        <v>60000</v>
      </c>
      <c r="J10" t="s">
        <v>18</v>
      </c>
    </row>
    <row r="11" spans="1:14" x14ac:dyDescent="0.25">
      <c r="A11" s="1" t="s">
        <v>24</v>
      </c>
      <c r="B11" s="1" t="str">
        <f t="shared" si="0"/>
        <v>Wednesday</v>
      </c>
      <c r="C11" s="1" t="str">
        <f>TEXT(Penjualan_Dimsum[[#This Row],[Tanggal]],"mmmm")</f>
        <v>June</v>
      </c>
      <c r="D11" s="1" t="str">
        <f t="shared" si="1"/>
        <v>Weekday</v>
      </c>
      <c r="E11" t="s">
        <v>12</v>
      </c>
      <c r="F11" t="s">
        <v>9</v>
      </c>
      <c r="G11">
        <v>19</v>
      </c>
      <c r="H11">
        <v>20000</v>
      </c>
      <c r="I11">
        <v>380000</v>
      </c>
      <c r="J11" t="s">
        <v>10</v>
      </c>
    </row>
    <row r="12" spans="1:14" x14ac:dyDescent="0.25">
      <c r="A12" s="1" t="s">
        <v>25</v>
      </c>
      <c r="B12" s="1" t="str">
        <f t="shared" si="0"/>
        <v>Friday</v>
      </c>
      <c r="C12" s="1" t="str">
        <f>TEXT(Penjualan_Dimsum[[#This Row],[Tanggal]],"mmmm")</f>
        <v>May</v>
      </c>
      <c r="D12" s="1" t="str">
        <f t="shared" si="1"/>
        <v>Weekday</v>
      </c>
      <c r="E12" t="s">
        <v>26</v>
      </c>
      <c r="F12" t="s">
        <v>9</v>
      </c>
      <c r="G12">
        <v>7</v>
      </c>
      <c r="H12">
        <v>18000</v>
      </c>
      <c r="I12">
        <v>126000</v>
      </c>
      <c r="J12" t="s">
        <v>18</v>
      </c>
    </row>
    <row r="13" spans="1:14" x14ac:dyDescent="0.25">
      <c r="A13" s="1" t="s">
        <v>27</v>
      </c>
      <c r="B13" s="1" t="str">
        <f t="shared" si="0"/>
        <v>Sunday</v>
      </c>
      <c r="C13" s="1" t="str">
        <f>TEXT(Penjualan_Dimsum[[#This Row],[Tanggal]],"mmmm")</f>
        <v>June</v>
      </c>
      <c r="D13" s="1" t="str">
        <f t="shared" si="1"/>
        <v>Weekend</v>
      </c>
      <c r="E13" t="s">
        <v>26</v>
      </c>
      <c r="F13" t="s">
        <v>9</v>
      </c>
      <c r="G13">
        <v>18</v>
      </c>
      <c r="H13">
        <v>18000</v>
      </c>
      <c r="I13">
        <v>324000</v>
      </c>
      <c r="J13" t="s">
        <v>18</v>
      </c>
    </row>
    <row r="14" spans="1:14" x14ac:dyDescent="0.25">
      <c r="A14" s="1" t="s">
        <v>28</v>
      </c>
      <c r="B14" s="1" t="str">
        <f t="shared" si="0"/>
        <v>Tuesday</v>
      </c>
      <c r="C14" s="1" t="str">
        <f>TEXT(Penjualan_Dimsum[[#This Row],[Tanggal]],"mmmm")</f>
        <v>June</v>
      </c>
      <c r="D14" s="1" t="str">
        <f t="shared" si="1"/>
        <v>Weekday</v>
      </c>
      <c r="E14" t="s">
        <v>16</v>
      </c>
      <c r="F14" t="s">
        <v>9</v>
      </c>
      <c r="G14">
        <v>18</v>
      </c>
      <c r="H14">
        <v>15000</v>
      </c>
      <c r="I14">
        <v>270000</v>
      </c>
      <c r="J14" t="s">
        <v>10</v>
      </c>
    </row>
    <row r="15" spans="1:14" x14ac:dyDescent="0.25">
      <c r="A15" s="1" t="s">
        <v>29</v>
      </c>
      <c r="B15" s="1" t="str">
        <f t="shared" si="0"/>
        <v>Thursday</v>
      </c>
      <c r="C15" s="1" t="str">
        <f>TEXT(Penjualan_Dimsum[[#This Row],[Tanggal]],"mmmm")</f>
        <v>April</v>
      </c>
      <c r="D15" s="1" t="str">
        <f t="shared" si="1"/>
        <v>Weekday</v>
      </c>
      <c r="E15" t="s">
        <v>26</v>
      </c>
      <c r="F15" t="s">
        <v>9</v>
      </c>
      <c r="G15">
        <v>4</v>
      </c>
      <c r="H15">
        <v>18000</v>
      </c>
      <c r="I15">
        <v>72000</v>
      </c>
      <c r="J15" t="s">
        <v>18</v>
      </c>
    </row>
    <row r="16" spans="1:14" x14ac:dyDescent="0.25">
      <c r="A16" s="1" t="s">
        <v>30</v>
      </c>
      <c r="B16" s="1" t="str">
        <f t="shared" si="0"/>
        <v>Friday</v>
      </c>
      <c r="C16" s="1" t="str">
        <f>TEXT(Penjualan_Dimsum[[#This Row],[Tanggal]],"mmmm")</f>
        <v>April</v>
      </c>
      <c r="D16" s="1" t="str">
        <f t="shared" si="1"/>
        <v>Weekday</v>
      </c>
      <c r="E16" t="s">
        <v>8</v>
      </c>
      <c r="F16" t="s">
        <v>9</v>
      </c>
      <c r="G16">
        <v>12</v>
      </c>
      <c r="H16">
        <v>15000</v>
      </c>
      <c r="I16">
        <v>180000</v>
      </c>
      <c r="J16" t="s">
        <v>10</v>
      </c>
    </row>
    <row r="17" spans="1:10" x14ac:dyDescent="0.25">
      <c r="A17" s="1" t="s">
        <v>29</v>
      </c>
      <c r="B17" s="1" t="str">
        <f t="shared" si="0"/>
        <v>Thursday</v>
      </c>
      <c r="C17" s="1" t="str">
        <f>TEXT(Penjualan_Dimsum[[#This Row],[Tanggal]],"mmmm")</f>
        <v>April</v>
      </c>
      <c r="D17" s="1" t="str">
        <f t="shared" si="1"/>
        <v>Weekday</v>
      </c>
      <c r="E17" t="s">
        <v>8</v>
      </c>
      <c r="F17" t="s">
        <v>9</v>
      </c>
      <c r="G17">
        <v>13</v>
      </c>
      <c r="H17">
        <v>20000</v>
      </c>
      <c r="I17">
        <v>260000</v>
      </c>
      <c r="J17" t="s">
        <v>13</v>
      </c>
    </row>
    <row r="18" spans="1:10" x14ac:dyDescent="0.25">
      <c r="A18" s="1" t="s">
        <v>31</v>
      </c>
      <c r="B18" s="1" t="str">
        <f t="shared" si="0"/>
        <v>Sunday</v>
      </c>
      <c r="C18" s="1" t="str">
        <f>TEXT(Penjualan_Dimsum[[#This Row],[Tanggal]],"mmmm")</f>
        <v>April</v>
      </c>
      <c r="D18" s="1" t="str">
        <f t="shared" si="1"/>
        <v>Weekend</v>
      </c>
      <c r="E18" t="s">
        <v>8</v>
      </c>
      <c r="F18" t="s">
        <v>9</v>
      </c>
      <c r="G18">
        <v>7</v>
      </c>
      <c r="H18">
        <v>15000</v>
      </c>
      <c r="I18">
        <v>105000</v>
      </c>
      <c r="J18" t="s">
        <v>10</v>
      </c>
    </row>
    <row r="19" spans="1:10" x14ac:dyDescent="0.25">
      <c r="A19" s="1" t="s">
        <v>32</v>
      </c>
      <c r="B19" s="1" t="str">
        <f t="shared" si="0"/>
        <v>Tuesday</v>
      </c>
      <c r="C19" s="1" t="str">
        <f>TEXT(Penjualan_Dimsum[[#This Row],[Tanggal]],"mmmm")</f>
        <v>May</v>
      </c>
      <c r="D19" s="1" t="str">
        <f t="shared" si="1"/>
        <v>Weekday</v>
      </c>
      <c r="E19" t="s">
        <v>8</v>
      </c>
      <c r="F19" t="s">
        <v>9</v>
      </c>
      <c r="G19">
        <v>19</v>
      </c>
      <c r="H19">
        <v>12000</v>
      </c>
      <c r="I19">
        <v>228000</v>
      </c>
      <c r="J19" t="s">
        <v>18</v>
      </c>
    </row>
    <row r="20" spans="1:10" x14ac:dyDescent="0.25">
      <c r="A20" s="1" t="s">
        <v>29</v>
      </c>
      <c r="B20" s="1" t="str">
        <f t="shared" si="0"/>
        <v>Thursday</v>
      </c>
      <c r="C20" s="1" t="str">
        <f>TEXT(Penjualan_Dimsum[[#This Row],[Tanggal]],"mmmm")</f>
        <v>April</v>
      </c>
      <c r="D20" s="1" t="str">
        <f t="shared" si="1"/>
        <v>Weekday</v>
      </c>
      <c r="E20" t="s">
        <v>26</v>
      </c>
      <c r="F20" t="s">
        <v>9</v>
      </c>
      <c r="G20">
        <v>3</v>
      </c>
      <c r="H20">
        <v>20000</v>
      </c>
      <c r="I20">
        <v>60000</v>
      </c>
      <c r="J20" t="s">
        <v>13</v>
      </c>
    </row>
    <row r="21" spans="1:10" x14ac:dyDescent="0.25">
      <c r="A21" s="1" t="s">
        <v>15</v>
      </c>
      <c r="B21" s="1" t="str">
        <f t="shared" si="0"/>
        <v>Friday</v>
      </c>
      <c r="C21" s="1" t="str">
        <f>TEXT(Penjualan_Dimsum[[#This Row],[Tanggal]],"mmmm")</f>
        <v>June</v>
      </c>
      <c r="D21" s="1" t="str">
        <f t="shared" si="1"/>
        <v>Weekday</v>
      </c>
      <c r="E21" t="s">
        <v>12</v>
      </c>
      <c r="F21" t="s">
        <v>9</v>
      </c>
      <c r="G21">
        <v>1</v>
      </c>
      <c r="H21">
        <v>12000</v>
      </c>
      <c r="I21">
        <v>12000</v>
      </c>
      <c r="J21" t="s">
        <v>20</v>
      </c>
    </row>
    <row r="22" spans="1:10" x14ac:dyDescent="0.25">
      <c r="A22" s="1" t="s">
        <v>33</v>
      </c>
      <c r="B22" s="1" t="str">
        <f t="shared" si="0"/>
        <v>Monday</v>
      </c>
      <c r="C22" s="1" t="str">
        <f>TEXT(Penjualan_Dimsum[[#This Row],[Tanggal]],"mmmm")</f>
        <v>April</v>
      </c>
      <c r="D22" s="1" t="str">
        <f t="shared" si="1"/>
        <v>Weekday</v>
      </c>
      <c r="E22" t="s">
        <v>8</v>
      </c>
      <c r="F22" t="s">
        <v>9</v>
      </c>
      <c r="G22">
        <v>1</v>
      </c>
      <c r="H22">
        <v>12000</v>
      </c>
      <c r="I22">
        <v>12000</v>
      </c>
      <c r="J22" t="s">
        <v>13</v>
      </c>
    </row>
    <row r="23" spans="1:10" x14ac:dyDescent="0.25">
      <c r="A23" s="1" t="s">
        <v>34</v>
      </c>
      <c r="B23" s="1" t="str">
        <f t="shared" si="0"/>
        <v>Wednesday</v>
      </c>
      <c r="C23" s="1" t="str">
        <f>TEXT(Penjualan_Dimsum[[#This Row],[Tanggal]],"mmmm")</f>
        <v>June</v>
      </c>
      <c r="D23" s="1" t="str">
        <f t="shared" si="1"/>
        <v>Weekday</v>
      </c>
      <c r="E23" t="s">
        <v>16</v>
      </c>
      <c r="F23" t="s">
        <v>9</v>
      </c>
      <c r="G23">
        <v>17</v>
      </c>
      <c r="H23">
        <v>15000</v>
      </c>
      <c r="I23">
        <v>255000</v>
      </c>
      <c r="J23" t="s">
        <v>20</v>
      </c>
    </row>
    <row r="24" spans="1:10" x14ac:dyDescent="0.25">
      <c r="A24" s="1" t="s">
        <v>35</v>
      </c>
      <c r="B24" s="1" t="str">
        <f t="shared" si="0"/>
        <v>Saturday</v>
      </c>
      <c r="C24" s="1" t="str">
        <f>TEXT(Penjualan_Dimsum[[#This Row],[Tanggal]],"mmmm")</f>
        <v>June</v>
      </c>
      <c r="D24" s="1" t="str">
        <f t="shared" si="1"/>
        <v>Weekend</v>
      </c>
      <c r="E24" t="s">
        <v>8</v>
      </c>
      <c r="F24" t="s">
        <v>9</v>
      </c>
      <c r="G24">
        <v>10</v>
      </c>
      <c r="H24">
        <v>12000</v>
      </c>
      <c r="I24">
        <v>120000</v>
      </c>
      <c r="J24" t="s">
        <v>20</v>
      </c>
    </row>
    <row r="25" spans="1:10" x14ac:dyDescent="0.25">
      <c r="A25" s="1" t="s">
        <v>36</v>
      </c>
      <c r="B25" s="1" t="str">
        <f t="shared" si="0"/>
        <v>Sunday</v>
      </c>
      <c r="C25" s="1" t="str">
        <f>TEXT(Penjualan_Dimsum[[#This Row],[Tanggal]],"mmmm")</f>
        <v>June</v>
      </c>
      <c r="D25" s="1" t="str">
        <f t="shared" si="1"/>
        <v>Weekend</v>
      </c>
      <c r="E25" t="s">
        <v>22</v>
      </c>
      <c r="F25" t="s">
        <v>9</v>
      </c>
      <c r="G25">
        <v>4</v>
      </c>
      <c r="H25">
        <v>12000</v>
      </c>
      <c r="I25">
        <v>48000</v>
      </c>
      <c r="J25" t="s">
        <v>13</v>
      </c>
    </row>
    <row r="26" spans="1:10" x14ac:dyDescent="0.25">
      <c r="A26" s="1" t="s">
        <v>37</v>
      </c>
      <c r="B26" s="1" t="str">
        <f t="shared" si="0"/>
        <v>Thursday</v>
      </c>
      <c r="C26" s="1" t="str">
        <f>TEXT(Penjualan_Dimsum[[#This Row],[Tanggal]],"mmmm")</f>
        <v>April</v>
      </c>
      <c r="D26" s="1" t="str">
        <f t="shared" si="1"/>
        <v>Weekday</v>
      </c>
      <c r="E26" t="s">
        <v>12</v>
      </c>
      <c r="F26" t="s">
        <v>9</v>
      </c>
      <c r="G26">
        <v>6</v>
      </c>
      <c r="H26">
        <v>18000</v>
      </c>
      <c r="I26">
        <v>108000</v>
      </c>
      <c r="J26" t="s">
        <v>10</v>
      </c>
    </row>
    <row r="27" spans="1:10" x14ac:dyDescent="0.25">
      <c r="A27" s="1" t="s">
        <v>28</v>
      </c>
      <c r="B27" s="1" t="str">
        <f t="shared" si="0"/>
        <v>Tuesday</v>
      </c>
      <c r="C27" s="1" t="str">
        <f>TEXT(Penjualan_Dimsum[[#This Row],[Tanggal]],"mmmm")</f>
        <v>June</v>
      </c>
      <c r="D27" s="1" t="str">
        <f t="shared" si="1"/>
        <v>Weekday</v>
      </c>
      <c r="E27" t="s">
        <v>16</v>
      </c>
      <c r="F27" t="s">
        <v>9</v>
      </c>
      <c r="G27">
        <v>8</v>
      </c>
      <c r="H27">
        <v>18000</v>
      </c>
      <c r="I27">
        <v>144000</v>
      </c>
      <c r="J27" t="s">
        <v>20</v>
      </c>
    </row>
    <row r="28" spans="1:10" x14ac:dyDescent="0.25">
      <c r="A28" s="1" t="s">
        <v>37</v>
      </c>
      <c r="B28" s="1" t="str">
        <f t="shared" si="0"/>
        <v>Thursday</v>
      </c>
      <c r="C28" s="1" t="str">
        <f>TEXT(Penjualan_Dimsum[[#This Row],[Tanggal]],"mmmm")</f>
        <v>April</v>
      </c>
      <c r="D28" s="1" t="str">
        <f t="shared" si="1"/>
        <v>Weekday</v>
      </c>
      <c r="E28" t="s">
        <v>22</v>
      </c>
      <c r="F28" t="s">
        <v>9</v>
      </c>
      <c r="G28">
        <v>19</v>
      </c>
      <c r="H28">
        <v>12000</v>
      </c>
      <c r="I28">
        <v>228000</v>
      </c>
      <c r="J28" t="s">
        <v>20</v>
      </c>
    </row>
    <row r="29" spans="1:10" x14ac:dyDescent="0.25">
      <c r="A29" s="1" t="s">
        <v>38</v>
      </c>
      <c r="B29" s="1" t="str">
        <f t="shared" si="0"/>
        <v>Thursday</v>
      </c>
      <c r="C29" s="1" t="str">
        <f>TEXT(Penjualan_Dimsum[[#This Row],[Tanggal]],"mmmm")</f>
        <v>May</v>
      </c>
      <c r="D29" s="1" t="str">
        <f t="shared" si="1"/>
        <v>Weekday</v>
      </c>
      <c r="E29" t="s">
        <v>16</v>
      </c>
      <c r="F29" t="s">
        <v>9</v>
      </c>
      <c r="G29">
        <v>17</v>
      </c>
      <c r="H29">
        <v>12000</v>
      </c>
      <c r="I29">
        <v>204000</v>
      </c>
      <c r="J29" t="s">
        <v>13</v>
      </c>
    </row>
    <row r="30" spans="1:10" x14ac:dyDescent="0.25">
      <c r="A30" s="1" t="s">
        <v>15</v>
      </c>
      <c r="B30" s="1" t="str">
        <f t="shared" si="0"/>
        <v>Friday</v>
      </c>
      <c r="C30" s="1" t="str">
        <f>TEXT(Penjualan_Dimsum[[#This Row],[Tanggal]],"mmmm")</f>
        <v>June</v>
      </c>
      <c r="D30" s="1" t="str">
        <f t="shared" si="1"/>
        <v>Weekday</v>
      </c>
      <c r="E30" t="s">
        <v>8</v>
      </c>
      <c r="F30" t="s">
        <v>9</v>
      </c>
      <c r="G30">
        <v>19</v>
      </c>
      <c r="H30">
        <v>15000</v>
      </c>
      <c r="I30">
        <v>285000</v>
      </c>
      <c r="J30" t="s">
        <v>10</v>
      </c>
    </row>
    <row r="31" spans="1:10" x14ac:dyDescent="0.25">
      <c r="A31" s="1" t="s">
        <v>39</v>
      </c>
      <c r="B31" s="1" t="str">
        <f t="shared" si="0"/>
        <v>Thursday</v>
      </c>
      <c r="C31" s="1" t="str">
        <f>TEXT(Penjualan_Dimsum[[#This Row],[Tanggal]],"mmmm")</f>
        <v>April</v>
      </c>
      <c r="D31" s="1" t="str">
        <f t="shared" si="1"/>
        <v>Weekday</v>
      </c>
      <c r="E31" t="s">
        <v>26</v>
      </c>
      <c r="F31" t="s">
        <v>9</v>
      </c>
      <c r="G31">
        <v>4</v>
      </c>
      <c r="H31">
        <v>12000</v>
      </c>
      <c r="I31">
        <v>48000</v>
      </c>
      <c r="J31" t="s">
        <v>13</v>
      </c>
    </row>
    <row r="32" spans="1:10" x14ac:dyDescent="0.25">
      <c r="A32" s="1" t="s">
        <v>15</v>
      </c>
      <c r="B32" s="1" t="str">
        <f t="shared" si="0"/>
        <v>Friday</v>
      </c>
      <c r="C32" s="1" t="str">
        <f>TEXT(Penjualan_Dimsum[[#This Row],[Tanggal]],"mmmm")</f>
        <v>June</v>
      </c>
      <c r="D32" s="1" t="str">
        <f t="shared" si="1"/>
        <v>Weekday</v>
      </c>
      <c r="E32" t="s">
        <v>12</v>
      </c>
      <c r="F32" t="s">
        <v>9</v>
      </c>
      <c r="G32">
        <v>15</v>
      </c>
      <c r="H32">
        <v>12000</v>
      </c>
      <c r="I32">
        <v>180000</v>
      </c>
      <c r="J32" t="s">
        <v>20</v>
      </c>
    </row>
    <row r="33" spans="1:10" x14ac:dyDescent="0.25">
      <c r="A33" s="1" t="s">
        <v>40</v>
      </c>
      <c r="B33" s="1" t="str">
        <f t="shared" si="0"/>
        <v>Thursday</v>
      </c>
      <c r="C33" s="1" t="str">
        <f>TEXT(Penjualan_Dimsum[[#This Row],[Tanggal]],"mmmm")</f>
        <v>June</v>
      </c>
      <c r="D33" s="1" t="str">
        <f t="shared" si="1"/>
        <v>Weekday</v>
      </c>
      <c r="E33" t="s">
        <v>8</v>
      </c>
      <c r="F33" t="s">
        <v>9</v>
      </c>
      <c r="G33">
        <v>13</v>
      </c>
      <c r="H33">
        <v>15000</v>
      </c>
      <c r="I33">
        <v>195000</v>
      </c>
      <c r="J33" t="s">
        <v>10</v>
      </c>
    </row>
    <row r="34" spans="1:10" x14ac:dyDescent="0.25">
      <c r="A34" s="1" t="s">
        <v>32</v>
      </c>
      <c r="B34" s="1" t="str">
        <f t="shared" si="0"/>
        <v>Tuesday</v>
      </c>
      <c r="C34" s="1" t="str">
        <f>TEXT(Penjualan_Dimsum[[#This Row],[Tanggal]],"mmmm")</f>
        <v>May</v>
      </c>
      <c r="D34" s="1" t="str">
        <f t="shared" si="1"/>
        <v>Weekday</v>
      </c>
      <c r="E34" t="s">
        <v>22</v>
      </c>
      <c r="F34" t="s">
        <v>9</v>
      </c>
      <c r="G34">
        <v>20</v>
      </c>
      <c r="H34">
        <v>12000</v>
      </c>
      <c r="I34">
        <v>240000</v>
      </c>
      <c r="J34" t="s">
        <v>18</v>
      </c>
    </row>
    <row r="35" spans="1:10" x14ac:dyDescent="0.25">
      <c r="A35" s="1" t="s">
        <v>41</v>
      </c>
      <c r="B35" s="1" t="str">
        <f t="shared" si="0"/>
        <v>Sunday</v>
      </c>
      <c r="C35" s="1" t="str">
        <f>TEXT(Penjualan_Dimsum[[#This Row],[Tanggal]],"mmmm")</f>
        <v>April</v>
      </c>
      <c r="D35" s="1" t="str">
        <f t="shared" si="1"/>
        <v>Weekend</v>
      </c>
      <c r="E35" t="s">
        <v>26</v>
      </c>
      <c r="F35" t="s">
        <v>9</v>
      </c>
      <c r="G35">
        <v>9</v>
      </c>
      <c r="H35">
        <v>20000</v>
      </c>
      <c r="I35">
        <v>180000</v>
      </c>
      <c r="J35" t="s">
        <v>13</v>
      </c>
    </row>
    <row r="36" spans="1:10" x14ac:dyDescent="0.25">
      <c r="A36" s="1" t="s">
        <v>42</v>
      </c>
      <c r="B36" s="1" t="str">
        <f t="shared" si="0"/>
        <v>Saturday</v>
      </c>
      <c r="C36" s="1" t="str">
        <f>TEXT(Penjualan_Dimsum[[#This Row],[Tanggal]],"mmmm")</f>
        <v>May</v>
      </c>
      <c r="D36" s="1" t="str">
        <f t="shared" si="1"/>
        <v>Weekend</v>
      </c>
      <c r="E36" t="s">
        <v>22</v>
      </c>
      <c r="F36" t="s">
        <v>9</v>
      </c>
      <c r="G36">
        <v>7</v>
      </c>
      <c r="H36">
        <v>15000</v>
      </c>
      <c r="I36">
        <v>105000</v>
      </c>
      <c r="J36" t="s">
        <v>20</v>
      </c>
    </row>
    <row r="37" spans="1:10" x14ac:dyDescent="0.25">
      <c r="A37" s="1" t="s">
        <v>43</v>
      </c>
      <c r="B37" s="1" t="str">
        <f t="shared" si="0"/>
        <v>Thursday</v>
      </c>
      <c r="C37" s="1" t="str">
        <f>TEXT(Penjualan_Dimsum[[#This Row],[Tanggal]],"mmmm")</f>
        <v>May</v>
      </c>
      <c r="D37" s="1" t="str">
        <f t="shared" si="1"/>
        <v>Weekday</v>
      </c>
      <c r="E37" t="s">
        <v>16</v>
      </c>
      <c r="F37" t="s">
        <v>9</v>
      </c>
      <c r="G37">
        <v>18</v>
      </c>
      <c r="H37">
        <v>18000</v>
      </c>
      <c r="I37">
        <v>324000</v>
      </c>
      <c r="J37" t="s">
        <v>18</v>
      </c>
    </row>
    <row r="38" spans="1:10" x14ac:dyDescent="0.25">
      <c r="A38" s="1" t="s">
        <v>34</v>
      </c>
      <c r="B38" s="1" t="str">
        <f t="shared" si="0"/>
        <v>Wednesday</v>
      </c>
      <c r="C38" s="1" t="str">
        <f>TEXT(Penjualan_Dimsum[[#This Row],[Tanggal]],"mmmm")</f>
        <v>June</v>
      </c>
      <c r="D38" s="1" t="str">
        <f t="shared" si="1"/>
        <v>Weekday</v>
      </c>
      <c r="E38" t="s">
        <v>8</v>
      </c>
      <c r="F38" t="s">
        <v>9</v>
      </c>
      <c r="G38">
        <v>8</v>
      </c>
      <c r="H38">
        <v>15000</v>
      </c>
      <c r="I38">
        <v>120000</v>
      </c>
      <c r="J38" t="s">
        <v>20</v>
      </c>
    </row>
    <row r="39" spans="1:10" x14ac:dyDescent="0.25">
      <c r="A39" s="1" t="s">
        <v>44</v>
      </c>
      <c r="B39" s="1" t="str">
        <f t="shared" si="0"/>
        <v>Friday</v>
      </c>
      <c r="C39" s="1" t="str">
        <f>TEXT(Penjualan_Dimsum[[#This Row],[Tanggal]],"mmmm")</f>
        <v>April</v>
      </c>
      <c r="D39" s="1" t="str">
        <f t="shared" si="1"/>
        <v>Weekday</v>
      </c>
      <c r="E39" t="s">
        <v>26</v>
      </c>
      <c r="F39" t="s">
        <v>9</v>
      </c>
      <c r="G39">
        <v>6</v>
      </c>
      <c r="H39">
        <v>18000</v>
      </c>
      <c r="I39">
        <v>108000</v>
      </c>
      <c r="J39" t="s">
        <v>13</v>
      </c>
    </row>
    <row r="40" spans="1:10" x14ac:dyDescent="0.25">
      <c r="A40" s="1" t="s">
        <v>32</v>
      </c>
      <c r="B40" s="1" t="str">
        <f t="shared" si="0"/>
        <v>Tuesday</v>
      </c>
      <c r="C40" s="1" t="str">
        <f>TEXT(Penjualan_Dimsum[[#This Row],[Tanggal]],"mmmm")</f>
        <v>May</v>
      </c>
      <c r="D40" s="1" t="str">
        <f t="shared" si="1"/>
        <v>Weekday</v>
      </c>
      <c r="E40" t="s">
        <v>22</v>
      </c>
      <c r="F40" t="s">
        <v>9</v>
      </c>
      <c r="G40">
        <v>18</v>
      </c>
      <c r="H40">
        <v>12000</v>
      </c>
      <c r="I40">
        <v>216000</v>
      </c>
      <c r="J40" t="s">
        <v>20</v>
      </c>
    </row>
    <row r="41" spans="1:10" x14ac:dyDescent="0.25">
      <c r="A41" s="1" t="s">
        <v>15</v>
      </c>
      <c r="B41" s="1" t="str">
        <f t="shared" si="0"/>
        <v>Friday</v>
      </c>
      <c r="C41" s="1" t="str">
        <f>TEXT(Penjualan_Dimsum[[#This Row],[Tanggal]],"mmmm")</f>
        <v>June</v>
      </c>
      <c r="D41" s="1" t="str">
        <f t="shared" si="1"/>
        <v>Weekday</v>
      </c>
      <c r="E41" t="s">
        <v>26</v>
      </c>
      <c r="F41" t="s">
        <v>9</v>
      </c>
      <c r="G41">
        <v>7</v>
      </c>
      <c r="H41">
        <v>20000</v>
      </c>
      <c r="I41">
        <v>140000</v>
      </c>
      <c r="J41" t="s">
        <v>20</v>
      </c>
    </row>
    <row r="42" spans="1:10" x14ac:dyDescent="0.25">
      <c r="A42" s="1" t="s">
        <v>23</v>
      </c>
      <c r="B42" s="1" t="str">
        <f t="shared" si="0"/>
        <v>Friday</v>
      </c>
      <c r="C42" s="1" t="str">
        <f>TEXT(Penjualan_Dimsum[[#This Row],[Tanggal]],"mmmm")</f>
        <v>June</v>
      </c>
      <c r="D42" s="1" t="str">
        <f t="shared" si="1"/>
        <v>Weekday</v>
      </c>
      <c r="E42" t="s">
        <v>22</v>
      </c>
      <c r="F42" t="s">
        <v>9</v>
      </c>
      <c r="G42">
        <v>7</v>
      </c>
      <c r="H42">
        <v>15000</v>
      </c>
      <c r="I42">
        <v>105000</v>
      </c>
      <c r="J42" t="s">
        <v>20</v>
      </c>
    </row>
    <row r="43" spans="1:10" x14ac:dyDescent="0.25">
      <c r="A43" s="1" t="s">
        <v>23</v>
      </c>
      <c r="B43" s="1" t="str">
        <f t="shared" si="0"/>
        <v>Friday</v>
      </c>
      <c r="C43" s="1" t="str">
        <f>TEXT(Penjualan_Dimsum[[#This Row],[Tanggal]],"mmmm")</f>
        <v>June</v>
      </c>
      <c r="D43" s="1" t="str">
        <f t="shared" si="1"/>
        <v>Weekday</v>
      </c>
      <c r="E43" t="s">
        <v>26</v>
      </c>
      <c r="F43" t="s">
        <v>9</v>
      </c>
      <c r="G43">
        <v>9</v>
      </c>
      <c r="H43">
        <v>12000</v>
      </c>
      <c r="I43">
        <v>108000</v>
      </c>
      <c r="J43" t="s">
        <v>20</v>
      </c>
    </row>
    <row r="44" spans="1:10" x14ac:dyDescent="0.25">
      <c r="A44" s="1" t="s">
        <v>45</v>
      </c>
      <c r="B44" s="1" t="str">
        <f t="shared" si="0"/>
        <v>Saturday</v>
      </c>
      <c r="C44" s="1" t="str">
        <f>TEXT(Penjualan_Dimsum[[#This Row],[Tanggal]],"mmmm")</f>
        <v>May</v>
      </c>
      <c r="D44" s="1" t="str">
        <f t="shared" si="1"/>
        <v>Weekend</v>
      </c>
      <c r="E44" t="s">
        <v>22</v>
      </c>
      <c r="F44" t="s">
        <v>9</v>
      </c>
      <c r="G44">
        <v>20</v>
      </c>
      <c r="H44">
        <v>12000</v>
      </c>
      <c r="I44">
        <v>240000</v>
      </c>
      <c r="J44" t="s">
        <v>20</v>
      </c>
    </row>
    <row r="45" spans="1:10" x14ac:dyDescent="0.25">
      <c r="A45" s="1" t="s">
        <v>46</v>
      </c>
      <c r="B45" s="1" t="str">
        <f t="shared" si="0"/>
        <v>Thursday</v>
      </c>
      <c r="C45" s="1" t="str">
        <f>TEXT(Penjualan_Dimsum[[#This Row],[Tanggal]],"mmmm")</f>
        <v>June</v>
      </c>
      <c r="D45" s="1" t="str">
        <f t="shared" si="1"/>
        <v>Weekday</v>
      </c>
      <c r="E45" t="s">
        <v>22</v>
      </c>
      <c r="F45" t="s">
        <v>9</v>
      </c>
      <c r="G45">
        <v>11</v>
      </c>
      <c r="H45">
        <v>18000</v>
      </c>
      <c r="I45">
        <v>198000</v>
      </c>
      <c r="J45" t="s">
        <v>10</v>
      </c>
    </row>
    <row r="46" spans="1:10" x14ac:dyDescent="0.25">
      <c r="A46" s="1" t="s">
        <v>45</v>
      </c>
      <c r="B46" s="1" t="str">
        <f t="shared" si="0"/>
        <v>Saturday</v>
      </c>
      <c r="C46" s="1" t="str">
        <f>TEXT(Penjualan_Dimsum[[#This Row],[Tanggal]],"mmmm")</f>
        <v>May</v>
      </c>
      <c r="D46" s="1" t="str">
        <f t="shared" si="1"/>
        <v>Weekend</v>
      </c>
      <c r="E46" t="s">
        <v>8</v>
      </c>
      <c r="F46" t="s">
        <v>9</v>
      </c>
      <c r="G46">
        <v>3</v>
      </c>
      <c r="H46">
        <v>15000</v>
      </c>
      <c r="I46">
        <v>45000</v>
      </c>
      <c r="J46" t="s">
        <v>18</v>
      </c>
    </row>
    <row r="47" spans="1:10" x14ac:dyDescent="0.25">
      <c r="A47" s="1" t="s">
        <v>47</v>
      </c>
      <c r="B47" s="1" t="str">
        <f t="shared" si="0"/>
        <v>Friday</v>
      </c>
      <c r="C47" s="1" t="str">
        <f>TEXT(Penjualan_Dimsum[[#This Row],[Tanggal]],"mmmm")</f>
        <v>May</v>
      </c>
      <c r="D47" s="1" t="str">
        <f t="shared" si="1"/>
        <v>Weekday</v>
      </c>
      <c r="E47" t="s">
        <v>22</v>
      </c>
      <c r="F47" t="s">
        <v>9</v>
      </c>
      <c r="G47">
        <v>15</v>
      </c>
      <c r="H47">
        <v>15000</v>
      </c>
      <c r="I47">
        <v>225000</v>
      </c>
      <c r="J47" t="s">
        <v>10</v>
      </c>
    </row>
    <row r="48" spans="1:10" x14ac:dyDescent="0.25">
      <c r="A48" s="1" t="s">
        <v>48</v>
      </c>
      <c r="B48" s="1" t="str">
        <f t="shared" si="0"/>
        <v>Tuesday</v>
      </c>
      <c r="C48" s="1" t="str">
        <f>TEXT(Penjualan_Dimsum[[#This Row],[Tanggal]],"mmmm")</f>
        <v>April</v>
      </c>
      <c r="D48" s="1" t="str">
        <f t="shared" si="1"/>
        <v>Weekday</v>
      </c>
      <c r="E48" t="s">
        <v>26</v>
      </c>
      <c r="F48" t="s">
        <v>9</v>
      </c>
      <c r="G48">
        <v>14</v>
      </c>
      <c r="H48">
        <v>18000</v>
      </c>
      <c r="I48">
        <v>252000</v>
      </c>
      <c r="J48" t="s">
        <v>13</v>
      </c>
    </row>
    <row r="49" spans="1:10" x14ac:dyDescent="0.25">
      <c r="A49" s="1" t="s">
        <v>49</v>
      </c>
      <c r="B49" s="1" t="str">
        <f t="shared" si="0"/>
        <v>Friday</v>
      </c>
      <c r="C49" s="1" t="str">
        <f>TEXT(Penjualan_Dimsum[[#This Row],[Tanggal]],"mmmm")</f>
        <v>June</v>
      </c>
      <c r="D49" s="1" t="str">
        <f t="shared" si="1"/>
        <v>Weekday</v>
      </c>
      <c r="E49" t="s">
        <v>16</v>
      </c>
      <c r="F49" t="s">
        <v>9</v>
      </c>
      <c r="G49">
        <v>1</v>
      </c>
      <c r="H49">
        <v>18000</v>
      </c>
      <c r="I49">
        <v>18000</v>
      </c>
      <c r="J49" t="s">
        <v>10</v>
      </c>
    </row>
    <row r="50" spans="1:10" x14ac:dyDescent="0.25">
      <c r="A50" s="1" t="s">
        <v>37</v>
      </c>
      <c r="B50" s="1" t="str">
        <f t="shared" si="0"/>
        <v>Thursday</v>
      </c>
      <c r="C50" s="1" t="str">
        <f>TEXT(Penjualan_Dimsum[[#This Row],[Tanggal]],"mmmm")</f>
        <v>April</v>
      </c>
      <c r="D50" s="1" t="str">
        <f t="shared" si="1"/>
        <v>Weekday</v>
      </c>
      <c r="E50" t="s">
        <v>16</v>
      </c>
      <c r="F50" t="s">
        <v>9</v>
      </c>
      <c r="G50">
        <v>14</v>
      </c>
      <c r="H50">
        <v>20000</v>
      </c>
      <c r="I50">
        <v>280000</v>
      </c>
      <c r="J50" t="s">
        <v>18</v>
      </c>
    </row>
    <row r="51" spans="1:10" x14ac:dyDescent="0.25">
      <c r="A51" s="1" t="s">
        <v>47</v>
      </c>
      <c r="B51" s="1" t="str">
        <f t="shared" si="0"/>
        <v>Friday</v>
      </c>
      <c r="C51" s="1" t="str">
        <f>TEXT(Penjualan_Dimsum[[#This Row],[Tanggal]],"mmmm")</f>
        <v>May</v>
      </c>
      <c r="D51" s="1" t="str">
        <f t="shared" si="1"/>
        <v>Weekday</v>
      </c>
      <c r="E51" t="s">
        <v>26</v>
      </c>
      <c r="F51" t="s">
        <v>9</v>
      </c>
      <c r="G51">
        <v>6</v>
      </c>
      <c r="H51">
        <v>15000</v>
      </c>
      <c r="I51">
        <v>90000</v>
      </c>
      <c r="J51" t="s">
        <v>20</v>
      </c>
    </row>
    <row r="52" spans="1:10" x14ac:dyDescent="0.25">
      <c r="A52" s="1" t="s">
        <v>37</v>
      </c>
      <c r="B52" s="1" t="str">
        <f t="shared" si="0"/>
        <v>Thursday</v>
      </c>
      <c r="C52" s="1" t="str">
        <f>TEXT(Penjualan_Dimsum[[#This Row],[Tanggal]],"mmmm")</f>
        <v>April</v>
      </c>
      <c r="D52" s="1" t="str">
        <f t="shared" si="1"/>
        <v>Weekday</v>
      </c>
      <c r="E52" t="s">
        <v>26</v>
      </c>
      <c r="F52" t="s">
        <v>9</v>
      </c>
      <c r="G52">
        <v>7</v>
      </c>
      <c r="H52">
        <v>20000</v>
      </c>
      <c r="I52">
        <v>140000</v>
      </c>
      <c r="J52" t="s">
        <v>20</v>
      </c>
    </row>
    <row r="53" spans="1:10" x14ac:dyDescent="0.25">
      <c r="A53" s="1" t="s">
        <v>34</v>
      </c>
      <c r="B53" s="1" t="str">
        <f t="shared" si="0"/>
        <v>Wednesday</v>
      </c>
      <c r="C53" s="1" t="str">
        <f>TEXT(Penjualan_Dimsum[[#This Row],[Tanggal]],"mmmm")</f>
        <v>June</v>
      </c>
      <c r="D53" s="1" t="str">
        <f t="shared" si="1"/>
        <v>Weekday</v>
      </c>
      <c r="E53" t="s">
        <v>26</v>
      </c>
      <c r="F53" t="s">
        <v>9</v>
      </c>
      <c r="G53">
        <v>7</v>
      </c>
      <c r="H53">
        <v>18000</v>
      </c>
      <c r="I53">
        <v>126000</v>
      </c>
      <c r="J53" t="s">
        <v>18</v>
      </c>
    </row>
    <row r="54" spans="1:10" x14ac:dyDescent="0.25">
      <c r="A54" s="1" t="s">
        <v>27</v>
      </c>
      <c r="B54" s="1" t="str">
        <f t="shared" si="0"/>
        <v>Sunday</v>
      </c>
      <c r="C54" s="1" t="str">
        <f>TEXT(Penjualan_Dimsum[[#This Row],[Tanggal]],"mmmm")</f>
        <v>June</v>
      </c>
      <c r="D54" s="1" t="str">
        <f t="shared" si="1"/>
        <v>Weekend</v>
      </c>
      <c r="E54" t="s">
        <v>26</v>
      </c>
      <c r="F54" t="s">
        <v>9</v>
      </c>
      <c r="G54">
        <v>14</v>
      </c>
      <c r="H54">
        <v>18000</v>
      </c>
      <c r="I54">
        <v>252000</v>
      </c>
      <c r="J54" t="s">
        <v>10</v>
      </c>
    </row>
    <row r="55" spans="1:10" x14ac:dyDescent="0.25">
      <c r="A55" s="1" t="s">
        <v>50</v>
      </c>
      <c r="B55" s="1" t="str">
        <f t="shared" si="0"/>
        <v>Tuesday</v>
      </c>
      <c r="C55" s="1" t="str">
        <f>TEXT(Penjualan_Dimsum[[#This Row],[Tanggal]],"mmmm")</f>
        <v>April</v>
      </c>
      <c r="D55" s="1" t="str">
        <f t="shared" si="1"/>
        <v>Weekday</v>
      </c>
      <c r="E55" t="s">
        <v>12</v>
      </c>
      <c r="F55" t="s">
        <v>9</v>
      </c>
      <c r="G55">
        <v>10</v>
      </c>
      <c r="H55">
        <v>18000</v>
      </c>
      <c r="I55">
        <v>180000</v>
      </c>
      <c r="J55" t="s">
        <v>18</v>
      </c>
    </row>
    <row r="56" spans="1:10" x14ac:dyDescent="0.25">
      <c r="A56" s="1" t="s">
        <v>51</v>
      </c>
      <c r="B56" s="1" t="str">
        <f t="shared" si="0"/>
        <v>Monday</v>
      </c>
      <c r="C56" s="1" t="str">
        <f>TEXT(Penjualan_Dimsum[[#This Row],[Tanggal]],"mmmm")</f>
        <v>June</v>
      </c>
      <c r="D56" s="1" t="str">
        <f t="shared" si="1"/>
        <v>Weekday</v>
      </c>
      <c r="E56" t="s">
        <v>26</v>
      </c>
      <c r="F56" t="s">
        <v>9</v>
      </c>
      <c r="G56">
        <v>20</v>
      </c>
      <c r="H56">
        <v>15000</v>
      </c>
      <c r="I56">
        <v>300000</v>
      </c>
      <c r="J56" t="s">
        <v>18</v>
      </c>
    </row>
    <row r="57" spans="1:10" x14ac:dyDescent="0.25">
      <c r="A57" s="1" t="s">
        <v>52</v>
      </c>
      <c r="B57" s="1" t="str">
        <f t="shared" si="0"/>
        <v>Wednesday</v>
      </c>
      <c r="C57" s="1" t="str">
        <f>TEXT(Penjualan_Dimsum[[#This Row],[Tanggal]],"mmmm")</f>
        <v>June</v>
      </c>
      <c r="D57" s="1" t="str">
        <f t="shared" si="1"/>
        <v>Weekday</v>
      </c>
      <c r="E57" t="s">
        <v>22</v>
      </c>
      <c r="F57" t="s">
        <v>9</v>
      </c>
      <c r="G57">
        <v>6</v>
      </c>
      <c r="H57">
        <v>12000</v>
      </c>
      <c r="I57">
        <v>72000</v>
      </c>
      <c r="J57" t="s">
        <v>13</v>
      </c>
    </row>
    <row r="58" spans="1:10" x14ac:dyDescent="0.25">
      <c r="A58" s="1" t="s">
        <v>53</v>
      </c>
      <c r="B58" s="1" t="str">
        <f t="shared" si="0"/>
        <v>Saturday</v>
      </c>
      <c r="C58" s="1" t="str">
        <f>TEXT(Penjualan_Dimsum[[#This Row],[Tanggal]],"mmmm")</f>
        <v>April</v>
      </c>
      <c r="D58" s="1" t="str">
        <f t="shared" si="1"/>
        <v>Weekend</v>
      </c>
      <c r="E58" t="s">
        <v>8</v>
      </c>
      <c r="F58" t="s">
        <v>9</v>
      </c>
      <c r="G58">
        <v>6</v>
      </c>
      <c r="H58">
        <v>20000</v>
      </c>
      <c r="I58">
        <v>120000</v>
      </c>
      <c r="J58" t="s">
        <v>18</v>
      </c>
    </row>
    <row r="59" spans="1:10" x14ac:dyDescent="0.25">
      <c r="A59" s="1" t="s">
        <v>28</v>
      </c>
      <c r="B59" s="1" t="str">
        <f t="shared" si="0"/>
        <v>Tuesday</v>
      </c>
      <c r="C59" s="1" t="str">
        <f>TEXT(Penjualan_Dimsum[[#This Row],[Tanggal]],"mmmm")</f>
        <v>June</v>
      </c>
      <c r="D59" s="1" t="str">
        <f t="shared" si="1"/>
        <v>Weekday</v>
      </c>
      <c r="E59" t="s">
        <v>12</v>
      </c>
      <c r="F59" t="s">
        <v>9</v>
      </c>
      <c r="G59">
        <v>10</v>
      </c>
      <c r="H59">
        <v>20000</v>
      </c>
      <c r="I59">
        <v>200000</v>
      </c>
      <c r="J59" t="s">
        <v>18</v>
      </c>
    </row>
    <row r="60" spans="1:10" x14ac:dyDescent="0.25">
      <c r="A60" s="1" t="s">
        <v>54</v>
      </c>
      <c r="B60" s="1" t="str">
        <f t="shared" si="0"/>
        <v>Sunday</v>
      </c>
      <c r="C60" s="1" t="str">
        <f>TEXT(Penjualan_Dimsum[[#This Row],[Tanggal]],"mmmm")</f>
        <v>June</v>
      </c>
      <c r="D60" s="1" t="str">
        <f t="shared" si="1"/>
        <v>Weekend</v>
      </c>
      <c r="E60" t="s">
        <v>8</v>
      </c>
      <c r="F60" t="s">
        <v>9</v>
      </c>
      <c r="G60">
        <v>6</v>
      </c>
      <c r="H60">
        <v>12000</v>
      </c>
      <c r="I60">
        <v>72000</v>
      </c>
      <c r="J60" t="s">
        <v>20</v>
      </c>
    </row>
    <row r="61" spans="1:10" x14ac:dyDescent="0.25">
      <c r="A61" s="1" t="s">
        <v>40</v>
      </c>
      <c r="B61" s="1" t="str">
        <f t="shared" si="0"/>
        <v>Thursday</v>
      </c>
      <c r="C61" s="1" t="str">
        <f>TEXT(Penjualan_Dimsum[[#This Row],[Tanggal]],"mmmm")</f>
        <v>June</v>
      </c>
      <c r="D61" s="1" t="str">
        <f t="shared" si="1"/>
        <v>Weekday</v>
      </c>
      <c r="E61" t="s">
        <v>22</v>
      </c>
      <c r="F61" t="s">
        <v>9</v>
      </c>
      <c r="G61">
        <v>6</v>
      </c>
      <c r="H61">
        <v>20000</v>
      </c>
      <c r="I61">
        <v>120000</v>
      </c>
      <c r="J61" t="s">
        <v>13</v>
      </c>
    </row>
    <row r="62" spans="1:10" x14ac:dyDescent="0.25">
      <c r="A62" s="1" t="s">
        <v>54</v>
      </c>
      <c r="B62" s="1" t="str">
        <f t="shared" si="0"/>
        <v>Sunday</v>
      </c>
      <c r="C62" s="1" t="str">
        <f>TEXT(Penjualan_Dimsum[[#This Row],[Tanggal]],"mmmm")</f>
        <v>June</v>
      </c>
      <c r="D62" s="1" t="str">
        <f t="shared" si="1"/>
        <v>Weekend</v>
      </c>
      <c r="E62" t="s">
        <v>22</v>
      </c>
      <c r="F62" t="s">
        <v>9</v>
      </c>
      <c r="G62">
        <v>17</v>
      </c>
      <c r="H62">
        <v>20000</v>
      </c>
      <c r="I62">
        <v>340000</v>
      </c>
      <c r="J62" t="s">
        <v>13</v>
      </c>
    </row>
    <row r="63" spans="1:10" x14ac:dyDescent="0.25">
      <c r="A63" s="1" t="s">
        <v>47</v>
      </c>
      <c r="B63" s="1" t="str">
        <f t="shared" si="0"/>
        <v>Friday</v>
      </c>
      <c r="C63" s="1" t="str">
        <f>TEXT(Penjualan_Dimsum[[#This Row],[Tanggal]],"mmmm")</f>
        <v>May</v>
      </c>
      <c r="D63" s="1" t="str">
        <f t="shared" si="1"/>
        <v>Weekday</v>
      </c>
      <c r="E63" t="s">
        <v>26</v>
      </c>
      <c r="F63" t="s">
        <v>9</v>
      </c>
      <c r="G63">
        <v>10</v>
      </c>
      <c r="H63">
        <v>20000</v>
      </c>
      <c r="I63">
        <v>200000</v>
      </c>
      <c r="J63" t="s">
        <v>10</v>
      </c>
    </row>
    <row r="64" spans="1:10" x14ac:dyDescent="0.25">
      <c r="A64" s="1" t="s">
        <v>34</v>
      </c>
      <c r="B64" s="1" t="str">
        <f t="shared" si="0"/>
        <v>Wednesday</v>
      </c>
      <c r="C64" s="1" t="str">
        <f>TEXT(Penjualan_Dimsum[[#This Row],[Tanggal]],"mmmm")</f>
        <v>June</v>
      </c>
      <c r="D64" s="1" t="str">
        <f t="shared" si="1"/>
        <v>Weekday</v>
      </c>
      <c r="E64" t="s">
        <v>8</v>
      </c>
      <c r="F64" t="s">
        <v>9</v>
      </c>
      <c r="G64">
        <v>10</v>
      </c>
      <c r="H64">
        <v>18000</v>
      </c>
      <c r="I64">
        <v>180000</v>
      </c>
      <c r="J64" t="s">
        <v>10</v>
      </c>
    </row>
    <row r="65" spans="1:10" x14ac:dyDescent="0.25">
      <c r="A65" s="1" t="s">
        <v>55</v>
      </c>
      <c r="B65" s="1" t="str">
        <f t="shared" si="0"/>
        <v>Wednesday</v>
      </c>
      <c r="C65" s="1" t="str">
        <f>TEXT(Penjualan_Dimsum[[#This Row],[Tanggal]],"mmmm")</f>
        <v>April</v>
      </c>
      <c r="D65" s="1" t="str">
        <f t="shared" si="1"/>
        <v>Weekday</v>
      </c>
      <c r="E65" t="s">
        <v>22</v>
      </c>
      <c r="F65" t="s">
        <v>9</v>
      </c>
      <c r="G65">
        <v>4</v>
      </c>
      <c r="H65">
        <v>12000</v>
      </c>
      <c r="I65">
        <v>48000</v>
      </c>
      <c r="J65" t="s">
        <v>20</v>
      </c>
    </row>
    <row r="66" spans="1:10" x14ac:dyDescent="0.25">
      <c r="A66" s="1" t="s">
        <v>46</v>
      </c>
      <c r="B66" s="1" t="str">
        <f t="shared" si="0"/>
        <v>Thursday</v>
      </c>
      <c r="C66" s="1" t="str">
        <f>TEXT(Penjualan_Dimsum[[#This Row],[Tanggal]],"mmmm")</f>
        <v>June</v>
      </c>
      <c r="D66" s="1" t="str">
        <f t="shared" si="1"/>
        <v>Weekday</v>
      </c>
      <c r="E66" t="s">
        <v>22</v>
      </c>
      <c r="F66" t="s">
        <v>9</v>
      </c>
      <c r="G66">
        <v>14</v>
      </c>
      <c r="H66">
        <v>18000</v>
      </c>
      <c r="I66">
        <v>252000</v>
      </c>
      <c r="J66" t="s">
        <v>13</v>
      </c>
    </row>
    <row r="67" spans="1:10" x14ac:dyDescent="0.25">
      <c r="A67" s="1" t="s">
        <v>31</v>
      </c>
      <c r="B67" s="1" t="str">
        <f t="shared" ref="B67:B130" si="2">TEXT(A67,"DDDD")</f>
        <v>Sunday</v>
      </c>
      <c r="C67" s="1" t="str">
        <f>TEXT(Penjualan_Dimsum[[#This Row],[Tanggal]],"mmmm")</f>
        <v>April</v>
      </c>
      <c r="D67" s="1" t="str">
        <f t="shared" ref="D67:D130" si="3">IF(OR(B67="Saturday",B67="Sunday"),"Weekend","Weekday")</f>
        <v>Weekend</v>
      </c>
      <c r="E67" t="s">
        <v>26</v>
      </c>
      <c r="F67" t="s">
        <v>9</v>
      </c>
      <c r="G67">
        <v>17</v>
      </c>
      <c r="H67">
        <v>15000</v>
      </c>
      <c r="I67">
        <v>255000</v>
      </c>
      <c r="J67" t="s">
        <v>13</v>
      </c>
    </row>
    <row r="68" spans="1:10" x14ac:dyDescent="0.25">
      <c r="A68" s="1" t="s">
        <v>56</v>
      </c>
      <c r="B68" s="1" t="str">
        <f t="shared" si="2"/>
        <v>Friday</v>
      </c>
      <c r="C68" s="1" t="str">
        <f>TEXT(Penjualan_Dimsum[[#This Row],[Tanggal]],"mmmm")</f>
        <v>May</v>
      </c>
      <c r="D68" s="1" t="str">
        <f t="shared" si="3"/>
        <v>Weekday</v>
      </c>
      <c r="E68" t="s">
        <v>22</v>
      </c>
      <c r="F68" t="s">
        <v>9</v>
      </c>
      <c r="G68">
        <v>16</v>
      </c>
      <c r="H68">
        <v>12000</v>
      </c>
      <c r="I68">
        <v>192000</v>
      </c>
      <c r="J68" t="s">
        <v>10</v>
      </c>
    </row>
    <row r="69" spans="1:10" x14ac:dyDescent="0.25">
      <c r="A69" s="1" t="s">
        <v>57</v>
      </c>
      <c r="B69" s="1" t="str">
        <f t="shared" si="2"/>
        <v>Saturday</v>
      </c>
      <c r="C69" s="1" t="str">
        <f>TEXT(Penjualan_Dimsum[[#This Row],[Tanggal]],"mmmm")</f>
        <v>May</v>
      </c>
      <c r="D69" s="1" t="str">
        <f t="shared" si="3"/>
        <v>Weekend</v>
      </c>
      <c r="E69" t="s">
        <v>22</v>
      </c>
      <c r="F69" t="s">
        <v>9</v>
      </c>
      <c r="G69">
        <v>18</v>
      </c>
      <c r="H69">
        <v>20000</v>
      </c>
      <c r="I69">
        <v>360000</v>
      </c>
      <c r="J69" t="s">
        <v>13</v>
      </c>
    </row>
    <row r="70" spans="1:10" x14ac:dyDescent="0.25">
      <c r="A70" s="1" t="s">
        <v>21</v>
      </c>
      <c r="B70" s="1" t="str">
        <f t="shared" si="2"/>
        <v>Thursday</v>
      </c>
      <c r="C70" s="1" t="str">
        <f>TEXT(Penjualan_Dimsum[[#This Row],[Tanggal]],"mmmm")</f>
        <v>May</v>
      </c>
      <c r="D70" s="1" t="str">
        <f t="shared" si="3"/>
        <v>Weekday</v>
      </c>
      <c r="E70" t="s">
        <v>8</v>
      </c>
      <c r="F70" t="s">
        <v>9</v>
      </c>
      <c r="G70">
        <v>12</v>
      </c>
      <c r="H70">
        <v>18000</v>
      </c>
      <c r="I70">
        <v>216000</v>
      </c>
      <c r="J70" t="s">
        <v>10</v>
      </c>
    </row>
    <row r="71" spans="1:10" x14ac:dyDescent="0.25">
      <c r="A71" s="1" t="s">
        <v>58</v>
      </c>
      <c r="B71" s="1" t="str">
        <f t="shared" si="2"/>
        <v>Monday</v>
      </c>
      <c r="C71" s="1" t="str">
        <f>TEXT(Penjualan_Dimsum[[#This Row],[Tanggal]],"mmmm")</f>
        <v>April</v>
      </c>
      <c r="D71" s="1" t="str">
        <f t="shared" si="3"/>
        <v>Weekday</v>
      </c>
      <c r="E71" t="s">
        <v>16</v>
      </c>
      <c r="F71" t="s">
        <v>9</v>
      </c>
      <c r="G71">
        <v>6</v>
      </c>
      <c r="H71">
        <v>18000</v>
      </c>
      <c r="I71">
        <v>108000</v>
      </c>
      <c r="J71" t="s">
        <v>13</v>
      </c>
    </row>
    <row r="72" spans="1:10" x14ac:dyDescent="0.25">
      <c r="A72" s="1" t="s">
        <v>52</v>
      </c>
      <c r="B72" s="1" t="str">
        <f t="shared" si="2"/>
        <v>Wednesday</v>
      </c>
      <c r="C72" s="1" t="str">
        <f>TEXT(Penjualan_Dimsum[[#This Row],[Tanggal]],"mmmm")</f>
        <v>June</v>
      </c>
      <c r="D72" s="1" t="str">
        <f t="shared" si="3"/>
        <v>Weekday</v>
      </c>
      <c r="E72" t="s">
        <v>8</v>
      </c>
      <c r="F72" t="s">
        <v>9</v>
      </c>
      <c r="G72">
        <v>19</v>
      </c>
      <c r="H72">
        <v>20000</v>
      </c>
      <c r="I72">
        <v>380000</v>
      </c>
      <c r="J72" t="s">
        <v>18</v>
      </c>
    </row>
    <row r="73" spans="1:10" x14ac:dyDescent="0.25">
      <c r="A73" s="1" t="s">
        <v>59</v>
      </c>
      <c r="B73" s="1" t="str">
        <f t="shared" si="2"/>
        <v>Tuesday</v>
      </c>
      <c r="C73" s="1" t="str">
        <f>TEXT(Penjualan_Dimsum[[#This Row],[Tanggal]],"mmmm")</f>
        <v>June</v>
      </c>
      <c r="D73" s="1" t="str">
        <f t="shared" si="3"/>
        <v>Weekday</v>
      </c>
      <c r="E73" t="s">
        <v>26</v>
      </c>
      <c r="F73" t="s">
        <v>9</v>
      </c>
      <c r="G73">
        <v>3</v>
      </c>
      <c r="H73">
        <v>18000</v>
      </c>
      <c r="I73">
        <v>54000</v>
      </c>
      <c r="J73" t="s">
        <v>10</v>
      </c>
    </row>
    <row r="74" spans="1:10" x14ac:dyDescent="0.25">
      <c r="A74" s="1" t="s">
        <v>60</v>
      </c>
      <c r="B74" s="1" t="str">
        <f t="shared" si="2"/>
        <v>Saturday</v>
      </c>
      <c r="C74" s="1" t="str">
        <f>TEXT(Penjualan_Dimsum[[#This Row],[Tanggal]],"mmmm")</f>
        <v>April</v>
      </c>
      <c r="D74" s="1" t="str">
        <f t="shared" si="3"/>
        <v>Weekend</v>
      </c>
      <c r="E74" t="s">
        <v>26</v>
      </c>
      <c r="F74" t="s">
        <v>9</v>
      </c>
      <c r="G74">
        <v>10</v>
      </c>
      <c r="H74">
        <v>12000</v>
      </c>
      <c r="I74">
        <v>120000</v>
      </c>
      <c r="J74" t="s">
        <v>10</v>
      </c>
    </row>
    <row r="75" spans="1:10" x14ac:dyDescent="0.25">
      <c r="A75" s="1" t="s">
        <v>61</v>
      </c>
      <c r="B75" s="1" t="str">
        <f t="shared" si="2"/>
        <v>Wednesday</v>
      </c>
      <c r="C75" s="1" t="str">
        <f>TEXT(Penjualan_Dimsum[[#This Row],[Tanggal]],"mmmm")</f>
        <v>May</v>
      </c>
      <c r="D75" s="1" t="str">
        <f t="shared" si="3"/>
        <v>Weekday</v>
      </c>
      <c r="E75" t="s">
        <v>12</v>
      </c>
      <c r="F75" t="s">
        <v>9</v>
      </c>
      <c r="G75">
        <v>2</v>
      </c>
      <c r="H75">
        <v>18000</v>
      </c>
      <c r="I75">
        <v>36000</v>
      </c>
      <c r="J75" t="s">
        <v>18</v>
      </c>
    </row>
    <row r="76" spans="1:10" x14ac:dyDescent="0.25">
      <c r="A76" s="1" t="s">
        <v>23</v>
      </c>
      <c r="B76" s="1" t="str">
        <f t="shared" si="2"/>
        <v>Friday</v>
      </c>
      <c r="C76" s="1" t="str">
        <f>TEXT(Penjualan_Dimsum[[#This Row],[Tanggal]],"mmmm")</f>
        <v>June</v>
      </c>
      <c r="D76" s="1" t="str">
        <f t="shared" si="3"/>
        <v>Weekday</v>
      </c>
      <c r="E76" t="s">
        <v>16</v>
      </c>
      <c r="F76" t="s">
        <v>9</v>
      </c>
      <c r="G76">
        <v>8</v>
      </c>
      <c r="H76">
        <v>18000</v>
      </c>
      <c r="I76">
        <v>144000</v>
      </c>
      <c r="J76" t="s">
        <v>10</v>
      </c>
    </row>
    <row r="77" spans="1:10" x14ac:dyDescent="0.25">
      <c r="A77" s="1" t="s">
        <v>56</v>
      </c>
      <c r="B77" s="1" t="str">
        <f t="shared" si="2"/>
        <v>Friday</v>
      </c>
      <c r="C77" s="1" t="str">
        <f>TEXT(Penjualan_Dimsum[[#This Row],[Tanggal]],"mmmm")</f>
        <v>May</v>
      </c>
      <c r="D77" s="1" t="str">
        <f t="shared" si="3"/>
        <v>Weekday</v>
      </c>
      <c r="E77" t="s">
        <v>26</v>
      </c>
      <c r="F77" t="s">
        <v>9</v>
      </c>
      <c r="G77">
        <v>6</v>
      </c>
      <c r="H77">
        <v>18000</v>
      </c>
      <c r="I77">
        <v>108000</v>
      </c>
      <c r="J77" t="s">
        <v>18</v>
      </c>
    </row>
    <row r="78" spans="1:10" x14ac:dyDescent="0.25">
      <c r="A78" s="1" t="s">
        <v>62</v>
      </c>
      <c r="B78" s="1" t="str">
        <f t="shared" si="2"/>
        <v>Wednesday</v>
      </c>
      <c r="C78" s="1" t="str">
        <f>TEXT(Penjualan_Dimsum[[#This Row],[Tanggal]],"mmmm")</f>
        <v>June</v>
      </c>
      <c r="D78" s="1" t="str">
        <f t="shared" si="3"/>
        <v>Weekday</v>
      </c>
      <c r="E78" t="s">
        <v>16</v>
      </c>
      <c r="F78" t="s">
        <v>9</v>
      </c>
      <c r="G78">
        <v>12</v>
      </c>
      <c r="H78">
        <v>18000</v>
      </c>
      <c r="I78">
        <v>216000</v>
      </c>
      <c r="J78" t="s">
        <v>18</v>
      </c>
    </row>
    <row r="79" spans="1:10" x14ac:dyDescent="0.25">
      <c r="A79" s="1" t="s">
        <v>48</v>
      </c>
      <c r="B79" s="1" t="str">
        <f t="shared" si="2"/>
        <v>Tuesday</v>
      </c>
      <c r="C79" s="1" t="str">
        <f>TEXT(Penjualan_Dimsum[[#This Row],[Tanggal]],"mmmm")</f>
        <v>April</v>
      </c>
      <c r="D79" s="1" t="str">
        <f t="shared" si="3"/>
        <v>Weekday</v>
      </c>
      <c r="E79" t="s">
        <v>12</v>
      </c>
      <c r="F79" t="s">
        <v>9</v>
      </c>
      <c r="G79">
        <v>5</v>
      </c>
      <c r="H79">
        <v>12000</v>
      </c>
      <c r="I79">
        <v>60000</v>
      </c>
      <c r="J79" t="s">
        <v>10</v>
      </c>
    </row>
    <row r="80" spans="1:10" x14ac:dyDescent="0.25">
      <c r="A80" s="1" t="s">
        <v>63</v>
      </c>
      <c r="B80" s="1" t="str">
        <f t="shared" si="2"/>
        <v>Saturday</v>
      </c>
      <c r="C80" s="1" t="str">
        <f>TEXT(Penjualan_Dimsum[[#This Row],[Tanggal]],"mmmm")</f>
        <v>April</v>
      </c>
      <c r="D80" s="1" t="str">
        <f t="shared" si="3"/>
        <v>Weekend</v>
      </c>
      <c r="E80" t="s">
        <v>26</v>
      </c>
      <c r="F80" t="s">
        <v>9</v>
      </c>
      <c r="G80">
        <v>13</v>
      </c>
      <c r="H80">
        <v>12000</v>
      </c>
      <c r="I80">
        <v>156000</v>
      </c>
      <c r="J80" t="s">
        <v>13</v>
      </c>
    </row>
    <row r="81" spans="1:10" x14ac:dyDescent="0.25">
      <c r="A81" s="1" t="s">
        <v>64</v>
      </c>
      <c r="B81" s="1" t="str">
        <f t="shared" si="2"/>
        <v>Friday</v>
      </c>
      <c r="C81" s="1" t="str">
        <f>TEXT(Penjualan_Dimsum[[#This Row],[Tanggal]],"mmmm")</f>
        <v>May</v>
      </c>
      <c r="D81" s="1" t="str">
        <f t="shared" si="3"/>
        <v>Weekday</v>
      </c>
      <c r="E81" t="s">
        <v>16</v>
      </c>
      <c r="F81" t="s">
        <v>9</v>
      </c>
      <c r="G81">
        <v>18</v>
      </c>
      <c r="H81">
        <v>15000</v>
      </c>
      <c r="I81">
        <v>270000</v>
      </c>
      <c r="J81" t="s">
        <v>10</v>
      </c>
    </row>
    <row r="82" spans="1:10" x14ac:dyDescent="0.25">
      <c r="A82" s="1" t="s">
        <v>38</v>
      </c>
      <c r="B82" s="1" t="str">
        <f t="shared" si="2"/>
        <v>Thursday</v>
      </c>
      <c r="C82" s="1" t="str">
        <f>TEXT(Penjualan_Dimsum[[#This Row],[Tanggal]],"mmmm")</f>
        <v>May</v>
      </c>
      <c r="D82" s="1" t="str">
        <f t="shared" si="3"/>
        <v>Weekday</v>
      </c>
      <c r="E82" t="s">
        <v>16</v>
      </c>
      <c r="F82" t="s">
        <v>9</v>
      </c>
      <c r="G82">
        <v>16</v>
      </c>
      <c r="H82">
        <v>12000</v>
      </c>
      <c r="I82">
        <v>192000</v>
      </c>
      <c r="J82" t="s">
        <v>10</v>
      </c>
    </row>
    <row r="83" spans="1:10" x14ac:dyDescent="0.25">
      <c r="A83" s="1" t="s">
        <v>65</v>
      </c>
      <c r="B83" s="1" t="str">
        <f t="shared" si="2"/>
        <v>Sunday</v>
      </c>
      <c r="C83" s="1" t="str">
        <f>TEXT(Penjualan_Dimsum[[#This Row],[Tanggal]],"mmmm")</f>
        <v>May</v>
      </c>
      <c r="D83" s="1" t="str">
        <f t="shared" si="3"/>
        <v>Weekend</v>
      </c>
      <c r="E83" t="s">
        <v>16</v>
      </c>
      <c r="F83" t="s">
        <v>9</v>
      </c>
      <c r="G83">
        <v>12</v>
      </c>
      <c r="H83">
        <v>18000</v>
      </c>
      <c r="I83">
        <v>216000</v>
      </c>
      <c r="J83" t="s">
        <v>10</v>
      </c>
    </row>
    <row r="84" spans="1:10" x14ac:dyDescent="0.25">
      <c r="A84" s="1" t="s">
        <v>66</v>
      </c>
      <c r="B84" s="1" t="str">
        <f t="shared" si="2"/>
        <v>Tuesday</v>
      </c>
      <c r="C84" s="1" t="str">
        <f>TEXT(Penjualan_Dimsum[[#This Row],[Tanggal]],"mmmm")</f>
        <v>April</v>
      </c>
      <c r="D84" s="1" t="str">
        <f t="shared" si="3"/>
        <v>Weekday</v>
      </c>
      <c r="E84" t="s">
        <v>22</v>
      </c>
      <c r="F84" t="s">
        <v>9</v>
      </c>
      <c r="G84">
        <v>15</v>
      </c>
      <c r="H84">
        <v>18000</v>
      </c>
      <c r="I84">
        <v>270000</v>
      </c>
      <c r="J84" t="s">
        <v>18</v>
      </c>
    </row>
    <row r="85" spans="1:10" x14ac:dyDescent="0.25">
      <c r="A85" s="1" t="s">
        <v>67</v>
      </c>
      <c r="B85" s="1" t="str">
        <f t="shared" si="2"/>
        <v>Friday</v>
      </c>
      <c r="C85" s="1" t="str">
        <f>TEXT(Penjualan_Dimsum[[#This Row],[Tanggal]],"mmmm")</f>
        <v>April</v>
      </c>
      <c r="D85" s="1" t="str">
        <f t="shared" si="3"/>
        <v>Weekday</v>
      </c>
      <c r="E85" t="s">
        <v>16</v>
      </c>
      <c r="F85" t="s">
        <v>9</v>
      </c>
      <c r="G85">
        <v>12</v>
      </c>
      <c r="H85">
        <v>18000</v>
      </c>
      <c r="I85">
        <v>216000</v>
      </c>
      <c r="J85" t="s">
        <v>13</v>
      </c>
    </row>
    <row r="86" spans="1:10" x14ac:dyDescent="0.25">
      <c r="A86" s="1" t="s">
        <v>68</v>
      </c>
      <c r="B86" s="1" t="str">
        <f t="shared" si="2"/>
        <v>Monday</v>
      </c>
      <c r="C86" s="1" t="str">
        <f>TEXT(Penjualan_Dimsum[[#This Row],[Tanggal]],"mmmm")</f>
        <v>June</v>
      </c>
      <c r="D86" s="1" t="str">
        <f t="shared" si="3"/>
        <v>Weekday</v>
      </c>
      <c r="E86" t="s">
        <v>8</v>
      </c>
      <c r="F86" t="s">
        <v>9</v>
      </c>
      <c r="G86">
        <v>7</v>
      </c>
      <c r="H86">
        <v>18000</v>
      </c>
      <c r="I86">
        <v>126000</v>
      </c>
      <c r="J86" t="s">
        <v>10</v>
      </c>
    </row>
    <row r="87" spans="1:10" x14ac:dyDescent="0.25">
      <c r="A87" s="1" t="s">
        <v>65</v>
      </c>
      <c r="B87" s="1" t="str">
        <f t="shared" si="2"/>
        <v>Sunday</v>
      </c>
      <c r="C87" s="1" t="str">
        <f>TEXT(Penjualan_Dimsum[[#This Row],[Tanggal]],"mmmm")</f>
        <v>May</v>
      </c>
      <c r="D87" s="1" t="str">
        <f t="shared" si="3"/>
        <v>Weekend</v>
      </c>
      <c r="E87" t="s">
        <v>8</v>
      </c>
      <c r="F87" t="s">
        <v>9</v>
      </c>
      <c r="G87">
        <v>12</v>
      </c>
      <c r="H87">
        <v>12000</v>
      </c>
      <c r="I87">
        <v>144000</v>
      </c>
      <c r="J87" t="s">
        <v>10</v>
      </c>
    </row>
    <row r="88" spans="1:10" x14ac:dyDescent="0.25">
      <c r="A88" s="1" t="s">
        <v>69</v>
      </c>
      <c r="B88" s="1" t="str">
        <f t="shared" si="2"/>
        <v>Saturday</v>
      </c>
      <c r="C88" s="1" t="str">
        <f>TEXT(Penjualan_Dimsum[[#This Row],[Tanggal]],"mmmm")</f>
        <v>June</v>
      </c>
      <c r="D88" s="1" t="str">
        <f t="shared" si="3"/>
        <v>Weekend</v>
      </c>
      <c r="E88" t="s">
        <v>16</v>
      </c>
      <c r="F88" t="s">
        <v>9</v>
      </c>
      <c r="G88">
        <v>5</v>
      </c>
      <c r="H88">
        <v>12000</v>
      </c>
      <c r="I88">
        <v>60000</v>
      </c>
      <c r="J88" t="s">
        <v>20</v>
      </c>
    </row>
    <row r="89" spans="1:10" x14ac:dyDescent="0.25">
      <c r="A89" s="1" t="s">
        <v>39</v>
      </c>
      <c r="B89" s="1" t="str">
        <f t="shared" si="2"/>
        <v>Thursday</v>
      </c>
      <c r="C89" s="1" t="str">
        <f>TEXT(Penjualan_Dimsum[[#This Row],[Tanggal]],"mmmm")</f>
        <v>April</v>
      </c>
      <c r="D89" s="1" t="str">
        <f t="shared" si="3"/>
        <v>Weekday</v>
      </c>
      <c r="E89" t="s">
        <v>12</v>
      </c>
      <c r="F89" t="s">
        <v>9</v>
      </c>
      <c r="G89">
        <v>13</v>
      </c>
      <c r="H89">
        <v>15000</v>
      </c>
      <c r="I89">
        <v>195000</v>
      </c>
      <c r="J89" t="s">
        <v>18</v>
      </c>
    </row>
    <row r="90" spans="1:10" x14ac:dyDescent="0.25">
      <c r="A90" s="1" t="s">
        <v>11</v>
      </c>
      <c r="B90" s="1" t="str">
        <f t="shared" si="2"/>
        <v>Wednesday</v>
      </c>
      <c r="C90" s="1" t="str">
        <f>TEXT(Penjualan_Dimsum[[#This Row],[Tanggal]],"mmmm")</f>
        <v>April</v>
      </c>
      <c r="D90" s="1" t="str">
        <f t="shared" si="3"/>
        <v>Weekday</v>
      </c>
      <c r="E90" t="s">
        <v>16</v>
      </c>
      <c r="F90" t="s">
        <v>9</v>
      </c>
      <c r="G90">
        <v>2</v>
      </c>
      <c r="H90">
        <v>15000</v>
      </c>
      <c r="I90">
        <v>30000</v>
      </c>
      <c r="J90" t="s">
        <v>13</v>
      </c>
    </row>
    <row r="91" spans="1:10" x14ac:dyDescent="0.25">
      <c r="A91" s="1" t="s">
        <v>70</v>
      </c>
      <c r="B91" s="1" t="str">
        <f t="shared" si="2"/>
        <v>Sunday</v>
      </c>
      <c r="C91" s="1" t="str">
        <f>TEXT(Penjualan_Dimsum[[#This Row],[Tanggal]],"mmmm")</f>
        <v>April</v>
      </c>
      <c r="D91" s="1" t="str">
        <f t="shared" si="3"/>
        <v>Weekend</v>
      </c>
      <c r="E91" t="s">
        <v>22</v>
      </c>
      <c r="F91" t="s">
        <v>9</v>
      </c>
      <c r="G91">
        <v>12</v>
      </c>
      <c r="H91">
        <v>12000</v>
      </c>
      <c r="I91">
        <v>144000</v>
      </c>
      <c r="J91" t="s">
        <v>20</v>
      </c>
    </row>
    <row r="92" spans="1:10" x14ac:dyDescent="0.25">
      <c r="A92" s="1" t="s">
        <v>37</v>
      </c>
      <c r="B92" s="1" t="str">
        <f t="shared" si="2"/>
        <v>Thursday</v>
      </c>
      <c r="C92" s="1" t="str">
        <f>TEXT(Penjualan_Dimsum[[#This Row],[Tanggal]],"mmmm")</f>
        <v>April</v>
      </c>
      <c r="D92" s="1" t="str">
        <f t="shared" si="3"/>
        <v>Weekday</v>
      </c>
      <c r="E92" t="s">
        <v>12</v>
      </c>
      <c r="F92" t="s">
        <v>9</v>
      </c>
      <c r="G92">
        <v>8</v>
      </c>
      <c r="H92">
        <v>12000</v>
      </c>
      <c r="I92">
        <v>96000</v>
      </c>
      <c r="J92" t="s">
        <v>10</v>
      </c>
    </row>
    <row r="93" spans="1:10" x14ac:dyDescent="0.25">
      <c r="A93" s="1" t="s">
        <v>33</v>
      </c>
      <c r="B93" s="1" t="str">
        <f t="shared" si="2"/>
        <v>Monday</v>
      </c>
      <c r="C93" s="1" t="str">
        <f>TEXT(Penjualan_Dimsum[[#This Row],[Tanggal]],"mmmm")</f>
        <v>April</v>
      </c>
      <c r="D93" s="1" t="str">
        <f t="shared" si="3"/>
        <v>Weekday</v>
      </c>
      <c r="E93" t="s">
        <v>26</v>
      </c>
      <c r="F93" t="s">
        <v>9</v>
      </c>
      <c r="G93">
        <v>8</v>
      </c>
      <c r="H93">
        <v>15000</v>
      </c>
      <c r="I93">
        <v>120000</v>
      </c>
      <c r="J93" t="s">
        <v>10</v>
      </c>
    </row>
    <row r="94" spans="1:10" x14ac:dyDescent="0.25">
      <c r="A94" s="1" t="s">
        <v>71</v>
      </c>
      <c r="B94" s="1" t="str">
        <f t="shared" si="2"/>
        <v>Sunday</v>
      </c>
      <c r="C94" s="1" t="str">
        <f>TEXT(Penjualan_Dimsum[[#This Row],[Tanggal]],"mmmm")</f>
        <v>May</v>
      </c>
      <c r="D94" s="1" t="str">
        <f t="shared" si="3"/>
        <v>Weekend</v>
      </c>
      <c r="E94" t="s">
        <v>22</v>
      </c>
      <c r="F94" t="s">
        <v>9</v>
      </c>
      <c r="G94">
        <v>16</v>
      </c>
      <c r="H94">
        <v>18000</v>
      </c>
      <c r="I94">
        <v>288000</v>
      </c>
      <c r="J94" t="s">
        <v>18</v>
      </c>
    </row>
    <row r="95" spans="1:10" x14ac:dyDescent="0.25">
      <c r="A95" s="1" t="s">
        <v>72</v>
      </c>
      <c r="B95" s="1" t="str">
        <f t="shared" si="2"/>
        <v>Sunday</v>
      </c>
      <c r="C95" s="1" t="str">
        <f>TEXT(Penjualan_Dimsum[[#This Row],[Tanggal]],"mmmm")</f>
        <v>May</v>
      </c>
      <c r="D95" s="1" t="str">
        <f t="shared" si="3"/>
        <v>Weekend</v>
      </c>
      <c r="E95" t="s">
        <v>22</v>
      </c>
      <c r="F95" t="s">
        <v>9</v>
      </c>
      <c r="G95">
        <v>1</v>
      </c>
      <c r="H95">
        <v>15000</v>
      </c>
      <c r="I95">
        <v>15000</v>
      </c>
      <c r="J95" t="s">
        <v>13</v>
      </c>
    </row>
    <row r="96" spans="1:10" x14ac:dyDescent="0.25">
      <c r="A96" s="1" t="s">
        <v>73</v>
      </c>
      <c r="B96" s="1" t="str">
        <f t="shared" si="2"/>
        <v>Tuesday</v>
      </c>
      <c r="C96" s="1" t="str">
        <f>TEXT(Penjualan_Dimsum[[#This Row],[Tanggal]],"mmmm")</f>
        <v>May</v>
      </c>
      <c r="D96" s="1" t="str">
        <f t="shared" si="3"/>
        <v>Weekday</v>
      </c>
      <c r="E96" t="s">
        <v>26</v>
      </c>
      <c r="F96" t="s">
        <v>9</v>
      </c>
      <c r="G96">
        <v>19</v>
      </c>
      <c r="H96">
        <v>12000</v>
      </c>
      <c r="I96">
        <v>228000</v>
      </c>
      <c r="J96" t="s">
        <v>10</v>
      </c>
    </row>
    <row r="97" spans="1:10" x14ac:dyDescent="0.25">
      <c r="A97" s="1" t="s">
        <v>56</v>
      </c>
      <c r="B97" s="1" t="str">
        <f t="shared" si="2"/>
        <v>Friday</v>
      </c>
      <c r="C97" s="1" t="str">
        <f>TEXT(Penjualan_Dimsum[[#This Row],[Tanggal]],"mmmm")</f>
        <v>May</v>
      </c>
      <c r="D97" s="1" t="str">
        <f t="shared" si="3"/>
        <v>Weekday</v>
      </c>
      <c r="E97" t="s">
        <v>22</v>
      </c>
      <c r="F97" t="s">
        <v>9</v>
      </c>
      <c r="G97">
        <v>18</v>
      </c>
      <c r="H97">
        <v>12000</v>
      </c>
      <c r="I97">
        <v>216000</v>
      </c>
      <c r="J97" t="s">
        <v>13</v>
      </c>
    </row>
    <row r="98" spans="1:10" x14ac:dyDescent="0.25">
      <c r="A98" s="1" t="s">
        <v>19</v>
      </c>
      <c r="B98" s="1" t="str">
        <f t="shared" si="2"/>
        <v>Tuesday</v>
      </c>
      <c r="C98" s="1" t="str">
        <f>TEXT(Penjualan_Dimsum[[#This Row],[Tanggal]],"mmmm")</f>
        <v>June</v>
      </c>
      <c r="D98" s="1" t="str">
        <f t="shared" si="3"/>
        <v>Weekday</v>
      </c>
      <c r="E98" t="s">
        <v>12</v>
      </c>
      <c r="F98" t="s">
        <v>9</v>
      </c>
      <c r="G98">
        <v>20</v>
      </c>
      <c r="H98">
        <v>18000</v>
      </c>
      <c r="I98">
        <v>360000</v>
      </c>
      <c r="J98" t="s">
        <v>20</v>
      </c>
    </row>
    <row r="99" spans="1:10" x14ac:dyDescent="0.25">
      <c r="A99" s="1" t="s">
        <v>66</v>
      </c>
      <c r="B99" s="1" t="str">
        <f t="shared" si="2"/>
        <v>Tuesday</v>
      </c>
      <c r="C99" s="1" t="str">
        <f>TEXT(Penjualan_Dimsum[[#This Row],[Tanggal]],"mmmm")</f>
        <v>April</v>
      </c>
      <c r="D99" s="1" t="str">
        <f t="shared" si="3"/>
        <v>Weekday</v>
      </c>
      <c r="E99" t="s">
        <v>22</v>
      </c>
      <c r="F99" t="s">
        <v>9</v>
      </c>
      <c r="G99">
        <v>7</v>
      </c>
      <c r="H99">
        <v>20000</v>
      </c>
      <c r="I99">
        <v>140000</v>
      </c>
      <c r="J99" t="s">
        <v>13</v>
      </c>
    </row>
    <row r="100" spans="1:10" x14ac:dyDescent="0.25">
      <c r="A100" s="1" t="s">
        <v>51</v>
      </c>
      <c r="B100" s="1" t="str">
        <f t="shared" si="2"/>
        <v>Monday</v>
      </c>
      <c r="C100" s="1" t="str">
        <f>TEXT(Penjualan_Dimsum[[#This Row],[Tanggal]],"mmmm")</f>
        <v>June</v>
      </c>
      <c r="D100" s="1" t="str">
        <f t="shared" si="3"/>
        <v>Weekday</v>
      </c>
      <c r="E100" t="s">
        <v>8</v>
      </c>
      <c r="F100" t="s">
        <v>9</v>
      </c>
      <c r="G100">
        <v>13</v>
      </c>
      <c r="H100">
        <v>12000</v>
      </c>
      <c r="I100">
        <v>156000</v>
      </c>
      <c r="J100" t="s">
        <v>13</v>
      </c>
    </row>
    <row r="101" spans="1:10" x14ac:dyDescent="0.25">
      <c r="A101" s="1" t="s">
        <v>68</v>
      </c>
      <c r="B101" s="1" t="str">
        <f t="shared" si="2"/>
        <v>Monday</v>
      </c>
      <c r="C101" s="1" t="str">
        <f>TEXT(Penjualan_Dimsum[[#This Row],[Tanggal]],"mmmm")</f>
        <v>June</v>
      </c>
      <c r="D101" s="1" t="str">
        <f t="shared" si="3"/>
        <v>Weekday</v>
      </c>
      <c r="E101" t="s">
        <v>26</v>
      </c>
      <c r="F101" t="s">
        <v>9</v>
      </c>
      <c r="G101">
        <v>6</v>
      </c>
      <c r="H101">
        <v>15000</v>
      </c>
      <c r="I101">
        <v>90000</v>
      </c>
      <c r="J101" t="s">
        <v>10</v>
      </c>
    </row>
    <row r="102" spans="1:10" x14ac:dyDescent="0.25">
      <c r="A102" s="1" t="s">
        <v>74</v>
      </c>
      <c r="B102" s="1" t="str">
        <f t="shared" si="2"/>
        <v>Monday</v>
      </c>
      <c r="C102" s="1" t="str">
        <f>TEXT(Penjualan_Dimsum[[#This Row],[Tanggal]],"mmmm")</f>
        <v>May</v>
      </c>
      <c r="D102" s="1" t="str">
        <f t="shared" si="3"/>
        <v>Weekday</v>
      </c>
      <c r="E102" t="s">
        <v>12</v>
      </c>
      <c r="F102" t="s">
        <v>9</v>
      </c>
      <c r="G102">
        <v>5</v>
      </c>
      <c r="H102">
        <v>15000</v>
      </c>
      <c r="I102">
        <v>75000</v>
      </c>
      <c r="J102" t="s">
        <v>18</v>
      </c>
    </row>
    <row r="103" spans="1:10" x14ac:dyDescent="0.25">
      <c r="A103" s="1" t="s">
        <v>50</v>
      </c>
      <c r="B103" s="1" t="str">
        <f t="shared" si="2"/>
        <v>Tuesday</v>
      </c>
      <c r="C103" s="1" t="str">
        <f>TEXT(Penjualan_Dimsum[[#This Row],[Tanggal]],"mmmm")</f>
        <v>April</v>
      </c>
      <c r="D103" s="1" t="str">
        <f t="shared" si="3"/>
        <v>Weekday</v>
      </c>
      <c r="E103" t="s">
        <v>26</v>
      </c>
      <c r="F103" t="s">
        <v>9</v>
      </c>
      <c r="G103">
        <v>17</v>
      </c>
      <c r="H103">
        <v>15000</v>
      </c>
      <c r="I103">
        <v>255000</v>
      </c>
      <c r="J103" t="s">
        <v>13</v>
      </c>
    </row>
    <row r="104" spans="1:10" x14ac:dyDescent="0.25">
      <c r="A104" s="1" t="s">
        <v>56</v>
      </c>
      <c r="B104" s="1" t="str">
        <f t="shared" si="2"/>
        <v>Friday</v>
      </c>
      <c r="C104" s="1" t="str">
        <f>TEXT(Penjualan_Dimsum[[#This Row],[Tanggal]],"mmmm")</f>
        <v>May</v>
      </c>
      <c r="D104" s="1" t="str">
        <f t="shared" si="3"/>
        <v>Weekday</v>
      </c>
      <c r="E104" t="s">
        <v>8</v>
      </c>
      <c r="F104" t="s">
        <v>9</v>
      </c>
      <c r="G104">
        <v>16</v>
      </c>
      <c r="H104">
        <v>15000</v>
      </c>
      <c r="I104">
        <v>240000</v>
      </c>
      <c r="J104" t="s">
        <v>10</v>
      </c>
    </row>
    <row r="105" spans="1:10" x14ac:dyDescent="0.25">
      <c r="A105" s="1" t="s">
        <v>71</v>
      </c>
      <c r="B105" s="1" t="str">
        <f t="shared" si="2"/>
        <v>Sunday</v>
      </c>
      <c r="C105" s="1" t="str">
        <f>TEXT(Penjualan_Dimsum[[#This Row],[Tanggal]],"mmmm")</f>
        <v>May</v>
      </c>
      <c r="D105" s="1" t="str">
        <f t="shared" si="3"/>
        <v>Weekend</v>
      </c>
      <c r="E105" t="s">
        <v>22</v>
      </c>
      <c r="F105" t="s">
        <v>9</v>
      </c>
      <c r="G105">
        <v>9</v>
      </c>
      <c r="H105">
        <v>15000</v>
      </c>
      <c r="I105">
        <v>135000</v>
      </c>
      <c r="J105" t="s">
        <v>18</v>
      </c>
    </row>
    <row r="106" spans="1:10" x14ac:dyDescent="0.25">
      <c r="A106" s="1" t="s">
        <v>7</v>
      </c>
      <c r="B106" s="1" t="str">
        <f t="shared" si="2"/>
        <v>Friday</v>
      </c>
      <c r="C106" s="1" t="str">
        <f>TEXT(Penjualan_Dimsum[[#This Row],[Tanggal]],"mmmm")</f>
        <v>June</v>
      </c>
      <c r="D106" s="1" t="str">
        <f t="shared" si="3"/>
        <v>Weekday</v>
      </c>
      <c r="E106" t="s">
        <v>26</v>
      </c>
      <c r="F106" t="s">
        <v>9</v>
      </c>
      <c r="G106">
        <v>5</v>
      </c>
      <c r="H106">
        <v>15000</v>
      </c>
      <c r="I106">
        <v>75000</v>
      </c>
      <c r="J106" t="s">
        <v>18</v>
      </c>
    </row>
    <row r="107" spans="1:10" x14ac:dyDescent="0.25">
      <c r="A107" s="1" t="s">
        <v>54</v>
      </c>
      <c r="B107" s="1" t="str">
        <f t="shared" si="2"/>
        <v>Sunday</v>
      </c>
      <c r="C107" s="1" t="str">
        <f>TEXT(Penjualan_Dimsum[[#This Row],[Tanggal]],"mmmm")</f>
        <v>June</v>
      </c>
      <c r="D107" s="1" t="str">
        <f t="shared" si="3"/>
        <v>Weekend</v>
      </c>
      <c r="E107" t="s">
        <v>12</v>
      </c>
      <c r="F107" t="s">
        <v>9</v>
      </c>
      <c r="G107">
        <v>1</v>
      </c>
      <c r="H107">
        <v>12000</v>
      </c>
      <c r="I107">
        <v>12000</v>
      </c>
      <c r="J107" t="s">
        <v>20</v>
      </c>
    </row>
    <row r="108" spans="1:10" x14ac:dyDescent="0.25">
      <c r="A108" s="1" t="s">
        <v>48</v>
      </c>
      <c r="B108" s="1" t="str">
        <f t="shared" si="2"/>
        <v>Tuesday</v>
      </c>
      <c r="C108" s="1" t="str">
        <f>TEXT(Penjualan_Dimsum[[#This Row],[Tanggal]],"mmmm")</f>
        <v>April</v>
      </c>
      <c r="D108" s="1" t="str">
        <f t="shared" si="3"/>
        <v>Weekday</v>
      </c>
      <c r="E108" t="s">
        <v>8</v>
      </c>
      <c r="F108" t="s">
        <v>9</v>
      </c>
      <c r="G108">
        <v>5</v>
      </c>
      <c r="H108">
        <v>12000</v>
      </c>
      <c r="I108">
        <v>60000</v>
      </c>
      <c r="J108" t="s">
        <v>13</v>
      </c>
    </row>
    <row r="109" spans="1:10" x14ac:dyDescent="0.25">
      <c r="A109" s="1" t="s">
        <v>59</v>
      </c>
      <c r="B109" s="1" t="str">
        <f t="shared" si="2"/>
        <v>Tuesday</v>
      </c>
      <c r="C109" s="1" t="str">
        <f>TEXT(Penjualan_Dimsum[[#This Row],[Tanggal]],"mmmm")</f>
        <v>June</v>
      </c>
      <c r="D109" s="1" t="str">
        <f t="shared" si="3"/>
        <v>Weekday</v>
      </c>
      <c r="E109" t="s">
        <v>8</v>
      </c>
      <c r="F109" t="s">
        <v>9</v>
      </c>
      <c r="G109">
        <v>12</v>
      </c>
      <c r="H109">
        <v>12000</v>
      </c>
      <c r="I109">
        <v>144000</v>
      </c>
      <c r="J109" t="s">
        <v>10</v>
      </c>
    </row>
    <row r="110" spans="1:10" x14ac:dyDescent="0.25">
      <c r="A110" s="1" t="s">
        <v>37</v>
      </c>
      <c r="B110" s="1" t="str">
        <f t="shared" si="2"/>
        <v>Thursday</v>
      </c>
      <c r="C110" s="1" t="str">
        <f>TEXT(Penjualan_Dimsum[[#This Row],[Tanggal]],"mmmm")</f>
        <v>April</v>
      </c>
      <c r="D110" s="1" t="str">
        <f t="shared" si="3"/>
        <v>Weekday</v>
      </c>
      <c r="E110" t="s">
        <v>12</v>
      </c>
      <c r="F110" t="s">
        <v>9</v>
      </c>
      <c r="G110">
        <v>20</v>
      </c>
      <c r="H110">
        <v>12000</v>
      </c>
      <c r="I110">
        <v>240000</v>
      </c>
      <c r="J110" t="s">
        <v>18</v>
      </c>
    </row>
    <row r="111" spans="1:10" x14ac:dyDescent="0.25">
      <c r="A111" s="1" t="s">
        <v>33</v>
      </c>
      <c r="B111" s="1" t="str">
        <f t="shared" si="2"/>
        <v>Monday</v>
      </c>
      <c r="C111" s="1" t="str">
        <f>TEXT(Penjualan_Dimsum[[#This Row],[Tanggal]],"mmmm")</f>
        <v>April</v>
      </c>
      <c r="D111" s="1" t="str">
        <f t="shared" si="3"/>
        <v>Weekday</v>
      </c>
      <c r="E111" t="s">
        <v>12</v>
      </c>
      <c r="F111" t="s">
        <v>9</v>
      </c>
      <c r="G111">
        <v>4</v>
      </c>
      <c r="H111">
        <v>20000</v>
      </c>
      <c r="I111">
        <v>80000</v>
      </c>
      <c r="J111" t="s">
        <v>20</v>
      </c>
    </row>
    <row r="112" spans="1:10" x14ac:dyDescent="0.25">
      <c r="A112" s="1" t="s">
        <v>44</v>
      </c>
      <c r="B112" s="1" t="str">
        <f t="shared" si="2"/>
        <v>Friday</v>
      </c>
      <c r="C112" s="1" t="str">
        <f>TEXT(Penjualan_Dimsum[[#This Row],[Tanggal]],"mmmm")</f>
        <v>April</v>
      </c>
      <c r="D112" s="1" t="str">
        <f t="shared" si="3"/>
        <v>Weekday</v>
      </c>
      <c r="E112" t="s">
        <v>22</v>
      </c>
      <c r="F112" t="s">
        <v>9</v>
      </c>
      <c r="G112">
        <v>4</v>
      </c>
      <c r="H112">
        <v>20000</v>
      </c>
      <c r="I112">
        <v>80000</v>
      </c>
      <c r="J112" t="s">
        <v>20</v>
      </c>
    </row>
    <row r="113" spans="1:10" x14ac:dyDescent="0.25">
      <c r="A113" s="1" t="s">
        <v>75</v>
      </c>
      <c r="B113" s="1" t="str">
        <f t="shared" si="2"/>
        <v>Monday</v>
      </c>
      <c r="C113" s="1" t="str">
        <f>TEXT(Penjualan_Dimsum[[#This Row],[Tanggal]],"mmmm")</f>
        <v>May</v>
      </c>
      <c r="D113" s="1" t="str">
        <f t="shared" si="3"/>
        <v>Weekday</v>
      </c>
      <c r="E113" t="s">
        <v>8</v>
      </c>
      <c r="F113" t="s">
        <v>9</v>
      </c>
      <c r="G113">
        <v>16</v>
      </c>
      <c r="H113">
        <v>15000</v>
      </c>
      <c r="I113">
        <v>240000</v>
      </c>
      <c r="J113" t="s">
        <v>10</v>
      </c>
    </row>
    <row r="114" spans="1:10" x14ac:dyDescent="0.25">
      <c r="A114" s="1" t="s">
        <v>76</v>
      </c>
      <c r="B114" s="1" t="str">
        <f t="shared" si="2"/>
        <v>Tuesday</v>
      </c>
      <c r="C114" s="1" t="str">
        <f>TEXT(Penjualan_Dimsum[[#This Row],[Tanggal]],"mmmm")</f>
        <v>April</v>
      </c>
      <c r="D114" s="1" t="str">
        <f t="shared" si="3"/>
        <v>Weekday</v>
      </c>
      <c r="E114" t="s">
        <v>16</v>
      </c>
      <c r="F114" t="s">
        <v>9</v>
      </c>
      <c r="G114">
        <v>4</v>
      </c>
      <c r="H114">
        <v>15000</v>
      </c>
      <c r="I114">
        <v>60000</v>
      </c>
      <c r="J114" t="s">
        <v>20</v>
      </c>
    </row>
    <row r="115" spans="1:10" x14ac:dyDescent="0.25">
      <c r="A115" s="1" t="s">
        <v>77</v>
      </c>
      <c r="B115" s="1" t="str">
        <f t="shared" si="2"/>
        <v>Monday</v>
      </c>
      <c r="C115" s="1" t="str">
        <f>TEXT(Penjualan_Dimsum[[#This Row],[Tanggal]],"mmmm")</f>
        <v>June</v>
      </c>
      <c r="D115" s="1" t="str">
        <f t="shared" si="3"/>
        <v>Weekday</v>
      </c>
      <c r="E115" t="s">
        <v>12</v>
      </c>
      <c r="F115" t="s">
        <v>9</v>
      </c>
      <c r="G115">
        <v>1</v>
      </c>
      <c r="H115">
        <v>12000</v>
      </c>
      <c r="I115">
        <v>12000</v>
      </c>
      <c r="J115" t="s">
        <v>10</v>
      </c>
    </row>
    <row r="116" spans="1:10" x14ac:dyDescent="0.25">
      <c r="A116" s="1" t="s">
        <v>29</v>
      </c>
      <c r="B116" s="1" t="str">
        <f t="shared" si="2"/>
        <v>Thursday</v>
      </c>
      <c r="C116" s="1" t="str">
        <f>TEXT(Penjualan_Dimsum[[#This Row],[Tanggal]],"mmmm")</f>
        <v>April</v>
      </c>
      <c r="D116" s="1" t="str">
        <f t="shared" si="3"/>
        <v>Weekday</v>
      </c>
      <c r="E116" t="s">
        <v>22</v>
      </c>
      <c r="F116" t="s">
        <v>9</v>
      </c>
      <c r="G116">
        <v>8</v>
      </c>
      <c r="H116">
        <v>15000</v>
      </c>
      <c r="I116">
        <v>120000</v>
      </c>
      <c r="J116" t="s">
        <v>13</v>
      </c>
    </row>
    <row r="117" spans="1:10" x14ac:dyDescent="0.25">
      <c r="A117" s="1" t="s">
        <v>28</v>
      </c>
      <c r="B117" s="1" t="str">
        <f t="shared" si="2"/>
        <v>Tuesday</v>
      </c>
      <c r="C117" s="1" t="str">
        <f>TEXT(Penjualan_Dimsum[[#This Row],[Tanggal]],"mmmm")</f>
        <v>June</v>
      </c>
      <c r="D117" s="1" t="str">
        <f t="shared" si="3"/>
        <v>Weekday</v>
      </c>
      <c r="E117" t="s">
        <v>26</v>
      </c>
      <c r="F117" t="s">
        <v>9</v>
      </c>
      <c r="G117">
        <v>8</v>
      </c>
      <c r="H117">
        <v>12000</v>
      </c>
      <c r="I117">
        <v>96000</v>
      </c>
      <c r="J117" t="s">
        <v>18</v>
      </c>
    </row>
    <row r="118" spans="1:10" x14ac:dyDescent="0.25">
      <c r="A118" s="1" t="s">
        <v>78</v>
      </c>
      <c r="B118" s="1" t="str">
        <f t="shared" si="2"/>
        <v>Friday</v>
      </c>
      <c r="C118" s="1" t="str">
        <f>TEXT(Penjualan_Dimsum[[#This Row],[Tanggal]],"mmmm")</f>
        <v>April</v>
      </c>
      <c r="D118" s="1" t="str">
        <f t="shared" si="3"/>
        <v>Weekday</v>
      </c>
      <c r="E118" t="s">
        <v>12</v>
      </c>
      <c r="F118" t="s">
        <v>9</v>
      </c>
      <c r="G118">
        <v>20</v>
      </c>
      <c r="H118">
        <v>12000</v>
      </c>
      <c r="I118">
        <v>240000</v>
      </c>
      <c r="J118" t="s">
        <v>13</v>
      </c>
    </row>
    <row r="119" spans="1:10" x14ac:dyDescent="0.25">
      <c r="A119" s="1" t="s">
        <v>79</v>
      </c>
      <c r="B119" s="1" t="str">
        <f t="shared" si="2"/>
        <v>Monday</v>
      </c>
      <c r="C119" s="1" t="str">
        <f>TEXT(Penjualan_Dimsum[[#This Row],[Tanggal]],"mmmm")</f>
        <v>May</v>
      </c>
      <c r="D119" s="1" t="str">
        <f t="shared" si="3"/>
        <v>Weekday</v>
      </c>
      <c r="E119" t="s">
        <v>16</v>
      </c>
      <c r="F119" t="s">
        <v>9</v>
      </c>
      <c r="G119">
        <v>13</v>
      </c>
      <c r="H119">
        <v>15000</v>
      </c>
      <c r="I119">
        <v>195000</v>
      </c>
      <c r="J119" t="s">
        <v>18</v>
      </c>
    </row>
    <row r="120" spans="1:10" x14ac:dyDescent="0.25">
      <c r="A120" s="1" t="s">
        <v>80</v>
      </c>
      <c r="B120" s="1" t="str">
        <f t="shared" si="2"/>
        <v>Monday</v>
      </c>
      <c r="C120" s="1" t="str">
        <f>TEXT(Penjualan_Dimsum[[#This Row],[Tanggal]],"mmmm")</f>
        <v>May</v>
      </c>
      <c r="D120" s="1" t="str">
        <f t="shared" si="3"/>
        <v>Weekday</v>
      </c>
      <c r="E120" t="s">
        <v>16</v>
      </c>
      <c r="F120" t="s">
        <v>9</v>
      </c>
      <c r="G120">
        <v>3</v>
      </c>
      <c r="H120">
        <v>18000</v>
      </c>
      <c r="I120">
        <v>54000</v>
      </c>
      <c r="J120" t="s">
        <v>10</v>
      </c>
    </row>
    <row r="121" spans="1:10" x14ac:dyDescent="0.25">
      <c r="A121" s="1" t="s">
        <v>31</v>
      </c>
      <c r="B121" s="1" t="str">
        <f t="shared" si="2"/>
        <v>Sunday</v>
      </c>
      <c r="C121" s="1" t="str">
        <f>TEXT(Penjualan_Dimsum[[#This Row],[Tanggal]],"mmmm")</f>
        <v>April</v>
      </c>
      <c r="D121" s="1" t="str">
        <f t="shared" si="3"/>
        <v>Weekend</v>
      </c>
      <c r="E121" t="s">
        <v>16</v>
      </c>
      <c r="F121" t="s">
        <v>9</v>
      </c>
      <c r="G121">
        <v>11</v>
      </c>
      <c r="H121">
        <v>18000</v>
      </c>
      <c r="I121">
        <v>198000</v>
      </c>
      <c r="J121" t="s">
        <v>10</v>
      </c>
    </row>
    <row r="122" spans="1:10" x14ac:dyDescent="0.25">
      <c r="A122" s="1" t="s">
        <v>80</v>
      </c>
      <c r="B122" s="1" t="str">
        <f t="shared" si="2"/>
        <v>Monday</v>
      </c>
      <c r="C122" s="1" t="str">
        <f>TEXT(Penjualan_Dimsum[[#This Row],[Tanggal]],"mmmm")</f>
        <v>May</v>
      </c>
      <c r="D122" s="1" t="str">
        <f t="shared" si="3"/>
        <v>Weekday</v>
      </c>
      <c r="E122" t="s">
        <v>8</v>
      </c>
      <c r="F122" t="s">
        <v>9</v>
      </c>
      <c r="G122">
        <v>14</v>
      </c>
      <c r="H122">
        <v>20000</v>
      </c>
      <c r="I122">
        <v>280000</v>
      </c>
      <c r="J122" t="s">
        <v>18</v>
      </c>
    </row>
    <row r="123" spans="1:10" x14ac:dyDescent="0.25">
      <c r="A123" s="1" t="s">
        <v>7</v>
      </c>
      <c r="B123" s="1" t="str">
        <f t="shared" si="2"/>
        <v>Friday</v>
      </c>
      <c r="C123" s="1" t="str">
        <f>TEXT(Penjualan_Dimsum[[#This Row],[Tanggal]],"mmmm")</f>
        <v>June</v>
      </c>
      <c r="D123" s="1" t="str">
        <f t="shared" si="3"/>
        <v>Weekday</v>
      </c>
      <c r="E123" t="s">
        <v>22</v>
      </c>
      <c r="F123" t="s">
        <v>9</v>
      </c>
      <c r="G123">
        <v>1</v>
      </c>
      <c r="H123">
        <v>20000</v>
      </c>
      <c r="I123">
        <v>20000</v>
      </c>
      <c r="J123" t="s">
        <v>18</v>
      </c>
    </row>
    <row r="124" spans="1:10" x14ac:dyDescent="0.25">
      <c r="A124" s="1" t="s">
        <v>81</v>
      </c>
      <c r="B124" s="1" t="str">
        <f t="shared" si="2"/>
        <v>Thursday</v>
      </c>
      <c r="C124" s="1" t="str">
        <f>TEXT(Penjualan_Dimsum[[#This Row],[Tanggal]],"mmmm")</f>
        <v>June</v>
      </c>
      <c r="D124" s="1" t="str">
        <f t="shared" si="3"/>
        <v>Weekday</v>
      </c>
      <c r="E124" t="s">
        <v>12</v>
      </c>
      <c r="F124" t="s">
        <v>9</v>
      </c>
      <c r="G124">
        <v>9</v>
      </c>
      <c r="H124">
        <v>12000</v>
      </c>
      <c r="I124">
        <v>108000</v>
      </c>
      <c r="J124" t="s">
        <v>18</v>
      </c>
    </row>
    <row r="125" spans="1:10" x14ac:dyDescent="0.25">
      <c r="A125" s="1" t="s">
        <v>82</v>
      </c>
      <c r="B125" s="1" t="str">
        <f t="shared" si="2"/>
        <v>Sunday</v>
      </c>
      <c r="C125" s="1" t="str">
        <f>TEXT(Penjualan_Dimsum[[#This Row],[Tanggal]],"mmmm")</f>
        <v>June</v>
      </c>
      <c r="D125" s="1" t="str">
        <f t="shared" si="3"/>
        <v>Weekend</v>
      </c>
      <c r="E125" t="s">
        <v>26</v>
      </c>
      <c r="F125" t="s">
        <v>9</v>
      </c>
      <c r="G125">
        <v>3</v>
      </c>
      <c r="H125">
        <v>20000</v>
      </c>
      <c r="I125">
        <v>60000</v>
      </c>
      <c r="J125" t="s">
        <v>10</v>
      </c>
    </row>
    <row r="126" spans="1:10" x14ac:dyDescent="0.25">
      <c r="A126" s="1" t="s">
        <v>7</v>
      </c>
      <c r="B126" s="1" t="str">
        <f t="shared" si="2"/>
        <v>Friday</v>
      </c>
      <c r="C126" s="1" t="str">
        <f>TEXT(Penjualan_Dimsum[[#This Row],[Tanggal]],"mmmm")</f>
        <v>June</v>
      </c>
      <c r="D126" s="1" t="str">
        <f t="shared" si="3"/>
        <v>Weekday</v>
      </c>
      <c r="E126" t="s">
        <v>16</v>
      </c>
      <c r="F126" t="s">
        <v>9</v>
      </c>
      <c r="G126">
        <v>1</v>
      </c>
      <c r="H126">
        <v>18000</v>
      </c>
      <c r="I126">
        <v>18000</v>
      </c>
      <c r="J126" t="s">
        <v>18</v>
      </c>
    </row>
    <row r="127" spans="1:10" x14ac:dyDescent="0.25">
      <c r="A127" s="1" t="s">
        <v>57</v>
      </c>
      <c r="B127" s="1" t="str">
        <f t="shared" si="2"/>
        <v>Saturday</v>
      </c>
      <c r="C127" s="1" t="str">
        <f>TEXT(Penjualan_Dimsum[[#This Row],[Tanggal]],"mmmm")</f>
        <v>May</v>
      </c>
      <c r="D127" s="1" t="str">
        <f t="shared" si="3"/>
        <v>Weekend</v>
      </c>
      <c r="E127" t="s">
        <v>16</v>
      </c>
      <c r="F127" t="s">
        <v>9</v>
      </c>
      <c r="G127">
        <v>16</v>
      </c>
      <c r="H127">
        <v>18000</v>
      </c>
      <c r="I127">
        <v>288000</v>
      </c>
      <c r="J127" t="s">
        <v>18</v>
      </c>
    </row>
    <row r="128" spans="1:10" x14ac:dyDescent="0.25">
      <c r="A128" s="1" t="s">
        <v>37</v>
      </c>
      <c r="B128" s="1" t="str">
        <f t="shared" si="2"/>
        <v>Thursday</v>
      </c>
      <c r="C128" s="1" t="str">
        <f>TEXT(Penjualan_Dimsum[[#This Row],[Tanggal]],"mmmm")</f>
        <v>April</v>
      </c>
      <c r="D128" s="1" t="str">
        <f t="shared" si="3"/>
        <v>Weekday</v>
      </c>
      <c r="E128" t="s">
        <v>12</v>
      </c>
      <c r="F128" t="s">
        <v>9</v>
      </c>
      <c r="G128">
        <v>1</v>
      </c>
      <c r="H128">
        <v>12000</v>
      </c>
      <c r="I128">
        <v>12000</v>
      </c>
      <c r="J128" t="s">
        <v>13</v>
      </c>
    </row>
    <row r="129" spans="1:10" x14ac:dyDescent="0.25">
      <c r="A129" s="1" t="s">
        <v>53</v>
      </c>
      <c r="B129" s="1" t="str">
        <f t="shared" si="2"/>
        <v>Saturday</v>
      </c>
      <c r="C129" s="1" t="str">
        <f>TEXT(Penjualan_Dimsum[[#This Row],[Tanggal]],"mmmm")</f>
        <v>April</v>
      </c>
      <c r="D129" s="1" t="str">
        <f t="shared" si="3"/>
        <v>Weekend</v>
      </c>
      <c r="E129" t="s">
        <v>22</v>
      </c>
      <c r="F129" t="s">
        <v>9</v>
      </c>
      <c r="G129">
        <v>5</v>
      </c>
      <c r="H129">
        <v>12000</v>
      </c>
      <c r="I129">
        <v>60000</v>
      </c>
      <c r="J129" t="s">
        <v>13</v>
      </c>
    </row>
    <row r="130" spans="1:10" x14ac:dyDescent="0.25">
      <c r="A130" s="1" t="s">
        <v>83</v>
      </c>
      <c r="B130" s="1" t="str">
        <f t="shared" si="2"/>
        <v>Sunday</v>
      </c>
      <c r="C130" s="1" t="str">
        <f>TEXT(Penjualan_Dimsum[[#This Row],[Tanggal]],"mmmm")</f>
        <v>June</v>
      </c>
      <c r="D130" s="1" t="str">
        <f t="shared" si="3"/>
        <v>Weekend</v>
      </c>
      <c r="E130" t="s">
        <v>8</v>
      </c>
      <c r="F130" t="s">
        <v>9</v>
      </c>
      <c r="G130">
        <v>5</v>
      </c>
      <c r="H130">
        <v>20000</v>
      </c>
      <c r="I130">
        <v>100000</v>
      </c>
      <c r="J130" t="s">
        <v>18</v>
      </c>
    </row>
    <row r="131" spans="1:10" x14ac:dyDescent="0.25">
      <c r="A131" s="1" t="s">
        <v>31</v>
      </c>
      <c r="B131" s="1" t="str">
        <f t="shared" ref="B131:B194" si="4">TEXT(A131,"DDDD")</f>
        <v>Sunday</v>
      </c>
      <c r="C131" s="1" t="str">
        <f>TEXT(Penjualan_Dimsum[[#This Row],[Tanggal]],"mmmm")</f>
        <v>April</v>
      </c>
      <c r="D131" s="1" t="str">
        <f t="shared" ref="D131:D194" si="5">IF(OR(B131="Saturday",B131="Sunday"),"Weekend","Weekday")</f>
        <v>Weekend</v>
      </c>
      <c r="E131" t="s">
        <v>22</v>
      </c>
      <c r="F131" t="s">
        <v>9</v>
      </c>
      <c r="G131">
        <v>16</v>
      </c>
      <c r="H131">
        <v>18000</v>
      </c>
      <c r="I131">
        <v>288000</v>
      </c>
      <c r="J131" t="s">
        <v>20</v>
      </c>
    </row>
    <row r="132" spans="1:10" x14ac:dyDescent="0.25">
      <c r="A132" s="1" t="s">
        <v>42</v>
      </c>
      <c r="B132" s="1" t="str">
        <f t="shared" si="4"/>
        <v>Saturday</v>
      </c>
      <c r="C132" s="1" t="str">
        <f>TEXT(Penjualan_Dimsum[[#This Row],[Tanggal]],"mmmm")</f>
        <v>May</v>
      </c>
      <c r="D132" s="1" t="str">
        <f t="shared" si="5"/>
        <v>Weekend</v>
      </c>
      <c r="E132" t="s">
        <v>8</v>
      </c>
      <c r="F132" t="s">
        <v>9</v>
      </c>
      <c r="G132">
        <v>1</v>
      </c>
      <c r="H132">
        <v>15000</v>
      </c>
      <c r="I132">
        <v>15000</v>
      </c>
      <c r="J132" t="s">
        <v>18</v>
      </c>
    </row>
    <row r="133" spans="1:10" x14ac:dyDescent="0.25">
      <c r="A133" s="1" t="s">
        <v>42</v>
      </c>
      <c r="B133" s="1" t="str">
        <f t="shared" si="4"/>
        <v>Saturday</v>
      </c>
      <c r="C133" s="1" t="str">
        <f>TEXT(Penjualan_Dimsum[[#This Row],[Tanggal]],"mmmm")</f>
        <v>May</v>
      </c>
      <c r="D133" s="1" t="str">
        <f t="shared" si="5"/>
        <v>Weekend</v>
      </c>
      <c r="E133" t="s">
        <v>8</v>
      </c>
      <c r="F133" t="s">
        <v>9</v>
      </c>
      <c r="G133">
        <v>17</v>
      </c>
      <c r="H133">
        <v>12000</v>
      </c>
      <c r="I133">
        <v>204000</v>
      </c>
      <c r="J133" t="s">
        <v>18</v>
      </c>
    </row>
    <row r="134" spans="1:10" x14ac:dyDescent="0.25">
      <c r="A134" s="1" t="s">
        <v>66</v>
      </c>
      <c r="B134" s="1" t="str">
        <f t="shared" si="4"/>
        <v>Tuesday</v>
      </c>
      <c r="C134" s="1" t="str">
        <f>TEXT(Penjualan_Dimsum[[#This Row],[Tanggal]],"mmmm")</f>
        <v>April</v>
      </c>
      <c r="D134" s="1" t="str">
        <f t="shared" si="5"/>
        <v>Weekday</v>
      </c>
      <c r="E134" t="s">
        <v>16</v>
      </c>
      <c r="F134" t="s">
        <v>9</v>
      </c>
      <c r="G134">
        <v>16</v>
      </c>
      <c r="H134">
        <v>20000</v>
      </c>
      <c r="I134">
        <v>320000</v>
      </c>
      <c r="J134" t="s">
        <v>13</v>
      </c>
    </row>
    <row r="135" spans="1:10" x14ac:dyDescent="0.25">
      <c r="A135" s="1" t="s">
        <v>84</v>
      </c>
      <c r="B135" s="1" t="str">
        <f t="shared" si="4"/>
        <v>Thursday</v>
      </c>
      <c r="C135" s="1" t="str">
        <f>TEXT(Penjualan_Dimsum[[#This Row],[Tanggal]],"mmmm")</f>
        <v>May</v>
      </c>
      <c r="D135" s="1" t="str">
        <f t="shared" si="5"/>
        <v>Weekday</v>
      </c>
      <c r="E135" t="s">
        <v>8</v>
      </c>
      <c r="F135" t="s">
        <v>9</v>
      </c>
      <c r="G135">
        <v>7</v>
      </c>
      <c r="H135">
        <v>18000</v>
      </c>
      <c r="I135">
        <v>126000</v>
      </c>
      <c r="J135" t="s">
        <v>18</v>
      </c>
    </row>
    <row r="136" spans="1:10" x14ac:dyDescent="0.25">
      <c r="A136" s="1" t="s">
        <v>48</v>
      </c>
      <c r="B136" s="1" t="str">
        <f t="shared" si="4"/>
        <v>Tuesday</v>
      </c>
      <c r="C136" s="1" t="str">
        <f>TEXT(Penjualan_Dimsum[[#This Row],[Tanggal]],"mmmm")</f>
        <v>April</v>
      </c>
      <c r="D136" s="1" t="str">
        <f t="shared" si="5"/>
        <v>Weekday</v>
      </c>
      <c r="E136" t="s">
        <v>8</v>
      </c>
      <c r="F136" t="s">
        <v>9</v>
      </c>
      <c r="G136">
        <v>8</v>
      </c>
      <c r="H136">
        <v>18000</v>
      </c>
      <c r="I136">
        <v>144000</v>
      </c>
      <c r="J136" t="s">
        <v>10</v>
      </c>
    </row>
    <row r="137" spans="1:10" x14ac:dyDescent="0.25">
      <c r="A137" s="1" t="s">
        <v>85</v>
      </c>
      <c r="B137" s="1" t="str">
        <f t="shared" si="4"/>
        <v>Tuesday</v>
      </c>
      <c r="C137" s="1" t="str">
        <f>TEXT(Penjualan_Dimsum[[#This Row],[Tanggal]],"mmmm")</f>
        <v>June</v>
      </c>
      <c r="D137" s="1" t="str">
        <f t="shared" si="5"/>
        <v>Weekday</v>
      </c>
      <c r="E137" t="s">
        <v>22</v>
      </c>
      <c r="F137" t="s">
        <v>9</v>
      </c>
      <c r="G137">
        <v>6</v>
      </c>
      <c r="H137">
        <v>12000</v>
      </c>
      <c r="I137">
        <v>72000</v>
      </c>
      <c r="J137" t="s">
        <v>18</v>
      </c>
    </row>
    <row r="138" spans="1:10" x14ac:dyDescent="0.25">
      <c r="A138" s="1" t="s">
        <v>86</v>
      </c>
      <c r="B138" s="1" t="str">
        <f t="shared" si="4"/>
        <v>Sunday</v>
      </c>
      <c r="C138" s="1" t="str">
        <f>TEXT(Penjualan_Dimsum[[#This Row],[Tanggal]],"mmmm")</f>
        <v>April</v>
      </c>
      <c r="D138" s="1" t="str">
        <f t="shared" si="5"/>
        <v>Weekend</v>
      </c>
      <c r="E138" t="s">
        <v>16</v>
      </c>
      <c r="F138" t="s">
        <v>9</v>
      </c>
      <c r="G138">
        <v>6</v>
      </c>
      <c r="H138">
        <v>15000</v>
      </c>
      <c r="I138">
        <v>90000</v>
      </c>
      <c r="J138" t="s">
        <v>20</v>
      </c>
    </row>
    <row r="139" spans="1:10" x14ac:dyDescent="0.25">
      <c r="A139" s="1" t="s">
        <v>23</v>
      </c>
      <c r="B139" s="1" t="str">
        <f t="shared" si="4"/>
        <v>Friday</v>
      </c>
      <c r="C139" s="1" t="str">
        <f>TEXT(Penjualan_Dimsum[[#This Row],[Tanggal]],"mmmm")</f>
        <v>June</v>
      </c>
      <c r="D139" s="1" t="str">
        <f t="shared" si="5"/>
        <v>Weekday</v>
      </c>
      <c r="E139" t="s">
        <v>12</v>
      </c>
      <c r="F139" t="s">
        <v>9</v>
      </c>
      <c r="G139">
        <v>17</v>
      </c>
      <c r="H139">
        <v>15000</v>
      </c>
      <c r="I139">
        <v>255000</v>
      </c>
      <c r="J139" t="s">
        <v>13</v>
      </c>
    </row>
    <row r="140" spans="1:10" x14ac:dyDescent="0.25">
      <c r="A140" s="1" t="s">
        <v>65</v>
      </c>
      <c r="B140" s="1" t="str">
        <f t="shared" si="4"/>
        <v>Sunday</v>
      </c>
      <c r="C140" s="1" t="str">
        <f>TEXT(Penjualan_Dimsum[[#This Row],[Tanggal]],"mmmm")</f>
        <v>May</v>
      </c>
      <c r="D140" s="1" t="str">
        <f t="shared" si="5"/>
        <v>Weekend</v>
      </c>
      <c r="E140" t="s">
        <v>26</v>
      </c>
      <c r="F140" t="s">
        <v>9</v>
      </c>
      <c r="G140">
        <v>18</v>
      </c>
      <c r="H140">
        <v>18000</v>
      </c>
      <c r="I140">
        <v>324000</v>
      </c>
      <c r="J140" t="s">
        <v>18</v>
      </c>
    </row>
    <row r="141" spans="1:10" x14ac:dyDescent="0.25">
      <c r="A141" s="1" t="s">
        <v>83</v>
      </c>
      <c r="B141" s="1" t="str">
        <f t="shared" si="4"/>
        <v>Sunday</v>
      </c>
      <c r="C141" s="1" t="str">
        <f>TEXT(Penjualan_Dimsum[[#This Row],[Tanggal]],"mmmm")</f>
        <v>June</v>
      </c>
      <c r="D141" s="1" t="str">
        <f t="shared" si="5"/>
        <v>Weekend</v>
      </c>
      <c r="E141" t="s">
        <v>16</v>
      </c>
      <c r="F141" t="s">
        <v>9</v>
      </c>
      <c r="G141">
        <v>17</v>
      </c>
      <c r="H141">
        <v>12000</v>
      </c>
      <c r="I141">
        <v>204000</v>
      </c>
      <c r="J141" t="s">
        <v>13</v>
      </c>
    </row>
    <row r="142" spans="1:10" x14ac:dyDescent="0.25">
      <c r="A142" s="1" t="s">
        <v>25</v>
      </c>
      <c r="B142" s="1" t="str">
        <f t="shared" si="4"/>
        <v>Friday</v>
      </c>
      <c r="C142" s="1" t="str">
        <f>TEXT(Penjualan_Dimsum[[#This Row],[Tanggal]],"mmmm")</f>
        <v>May</v>
      </c>
      <c r="D142" s="1" t="str">
        <f t="shared" si="5"/>
        <v>Weekday</v>
      </c>
      <c r="E142" t="s">
        <v>26</v>
      </c>
      <c r="F142" t="s">
        <v>9</v>
      </c>
      <c r="G142">
        <v>12</v>
      </c>
      <c r="H142">
        <v>20000</v>
      </c>
      <c r="I142">
        <v>240000</v>
      </c>
      <c r="J142" t="s">
        <v>10</v>
      </c>
    </row>
    <row r="143" spans="1:10" x14ac:dyDescent="0.25">
      <c r="A143" s="1" t="s">
        <v>55</v>
      </c>
      <c r="B143" s="1" t="str">
        <f t="shared" si="4"/>
        <v>Wednesday</v>
      </c>
      <c r="C143" s="1" t="str">
        <f>TEXT(Penjualan_Dimsum[[#This Row],[Tanggal]],"mmmm")</f>
        <v>April</v>
      </c>
      <c r="D143" s="1" t="str">
        <f t="shared" si="5"/>
        <v>Weekday</v>
      </c>
      <c r="E143" t="s">
        <v>26</v>
      </c>
      <c r="F143" t="s">
        <v>9</v>
      </c>
      <c r="G143">
        <v>17</v>
      </c>
      <c r="H143">
        <v>12000</v>
      </c>
      <c r="I143">
        <v>204000</v>
      </c>
      <c r="J143" t="s">
        <v>18</v>
      </c>
    </row>
    <row r="144" spans="1:10" x14ac:dyDescent="0.25">
      <c r="A144" s="1" t="s">
        <v>54</v>
      </c>
      <c r="B144" s="1" t="str">
        <f t="shared" si="4"/>
        <v>Sunday</v>
      </c>
      <c r="C144" s="1" t="str">
        <f>TEXT(Penjualan_Dimsum[[#This Row],[Tanggal]],"mmmm")</f>
        <v>June</v>
      </c>
      <c r="D144" s="1" t="str">
        <f t="shared" si="5"/>
        <v>Weekend</v>
      </c>
      <c r="E144" t="s">
        <v>12</v>
      </c>
      <c r="F144" t="s">
        <v>9</v>
      </c>
      <c r="G144">
        <v>9</v>
      </c>
      <c r="H144">
        <v>12000</v>
      </c>
      <c r="I144">
        <v>108000</v>
      </c>
      <c r="J144" t="s">
        <v>10</v>
      </c>
    </row>
    <row r="145" spans="1:10" x14ac:dyDescent="0.25">
      <c r="A145" s="1" t="s">
        <v>87</v>
      </c>
      <c r="B145" s="1" t="str">
        <f t="shared" si="4"/>
        <v>Saturday</v>
      </c>
      <c r="C145" s="1" t="str">
        <f>TEXT(Penjualan_Dimsum[[#This Row],[Tanggal]],"mmmm")</f>
        <v>May</v>
      </c>
      <c r="D145" s="1" t="str">
        <f t="shared" si="5"/>
        <v>Weekend</v>
      </c>
      <c r="E145" t="s">
        <v>16</v>
      </c>
      <c r="F145" t="s">
        <v>9</v>
      </c>
      <c r="G145">
        <v>17</v>
      </c>
      <c r="H145">
        <v>15000</v>
      </c>
      <c r="I145">
        <v>255000</v>
      </c>
      <c r="J145" t="s">
        <v>10</v>
      </c>
    </row>
    <row r="146" spans="1:10" x14ac:dyDescent="0.25">
      <c r="A146" s="1" t="s">
        <v>53</v>
      </c>
      <c r="B146" s="1" t="str">
        <f t="shared" si="4"/>
        <v>Saturday</v>
      </c>
      <c r="C146" s="1" t="str">
        <f>TEXT(Penjualan_Dimsum[[#This Row],[Tanggal]],"mmmm")</f>
        <v>April</v>
      </c>
      <c r="D146" s="1" t="str">
        <f t="shared" si="5"/>
        <v>Weekend</v>
      </c>
      <c r="E146" t="s">
        <v>12</v>
      </c>
      <c r="F146" t="s">
        <v>9</v>
      </c>
      <c r="G146">
        <v>16</v>
      </c>
      <c r="H146">
        <v>12000</v>
      </c>
      <c r="I146">
        <v>192000</v>
      </c>
      <c r="J146" t="s">
        <v>18</v>
      </c>
    </row>
    <row r="147" spans="1:10" x14ac:dyDescent="0.25">
      <c r="A147" s="1" t="s">
        <v>88</v>
      </c>
      <c r="B147" s="1" t="str">
        <f t="shared" si="4"/>
        <v>Tuesday</v>
      </c>
      <c r="C147" s="1" t="str">
        <f>TEXT(Penjualan_Dimsum[[#This Row],[Tanggal]],"mmmm")</f>
        <v>May</v>
      </c>
      <c r="D147" s="1" t="str">
        <f t="shared" si="5"/>
        <v>Weekday</v>
      </c>
      <c r="E147" t="s">
        <v>12</v>
      </c>
      <c r="F147" t="s">
        <v>9</v>
      </c>
      <c r="G147">
        <v>13</v>
      </c>
      <c r="H147">
        <v>15000</v>
      </c>
      <c r="I147">
        <v>195000</v>
      </c>
      <c r="J147" t="s">
        <v>20</v>
      </c>
    </row>
    <row r="148" spans="1:10" x14ac:dyDescent="0.25">
      <c r="A148" s="1" t="s">
        <v>89</v>
      </c>
      <c r="B148" s="1" t="str">
        <f t="shared" si="4"/>
        <v>Saturday</v>
      </c>
      <c r="C148" s="1" t="str">
        <f>TEXT(Penjualan_Dimsum[[#This Row],[Tanggal]],"mmmm")</f>
        <v>June</v>
      </c>
      <c r="D148" s="1" t="str">
        <f t="shared" si="5"/>
        <v>Weekend</v>
      </c>
      <c r="E148" t="s">
        <v>8</v>
      </c>
      <c r="F148" t="s">
        <v>9</v>
      </c>
      <c r="G148">
        <v>13</v>
      </c>
      <c r="H148">
        <v>18000</v>
      </c>
      <c r="I148">
        <v>234000</v>
      </c>
      <c r="J148" t="s">
        <v>18</v>
      </c>
    </row>
    <row r="149" spans="1:10" x14ac:dyDescent="0.25">
      <c r="A149" s="1" t="s">
        <v>90</v>
      </c>
      <c r="B149" s="1" t="str">
        <f t="shared" si="4"/>
        <v>Tuesday</v>
      </c>
      <c r="C149" s="1" t="str">
        <f>TEXT(Penjualan_Dimsum[[#This Row],[Tanggal]],"mmmm")</f>
        <v>April</v>
      </c>
      <c r="D149" s="1" t="str">
        <f t="shared" si="5"/>
        <v>Weekday</v>
      </c>
      <c r="E149" t="s">
        <v>26</v>
      </c>
      <c r="F149" t="s">
        <v>9</v>
      </c>
      <c r="G149">
        <v>17</v>
      </c>
      <c r="H149">
        <v>12000</v>
      </c>
      <c r="I149">
        <v>204000</v>
      </c>
      <c r="J149" t="s">
        <v>13</v>
      </c>
    </row>
    <row r="150" spans="1:10" x14ac:dyDescent="0.25">
      <c r="A150" s="1" t="s">
        <v>38</v>
      </c>
      <c r="B150" s="1" t="str">
        <f t="shared" si="4"/>
        <v>Thursday</v>
      </c>
      <c r="C150" s="1" t="str">
        <f>TEXT(Penjualan_Dimsum[[#This Row],[Tanggal]],"mmmm")</f>
        <v>May</v>
      </c>
      <c r="D150" s="1" t="str">
        <f t="shared" si="5"/>
        <v>Weekday</v>
      </c>
      <c r="E150" t="s">
        <v>22</v>
      </c>
      <c r="F150" t="s">
        <v>9</v>
      </c>
      <c r="G150">
        <v>5</v>
      </c>
      <c r="H150">
        <v>15000</v>
      </c>
      <c r="I150">
        <v>75000</v>
      </c>
      <c r="J150" t="s">
        <v>10</v>
      </c>
    </row>
    <row r="151" spans="1:10" x14ac:dyDescent="0.25">
      <c r="A151" s="1" t="s">
        <v>91</v>
      </c>
      <c r="B151" s="1" t="str">
        <f t="shared" si="4"/>
        <v>Wednesday</v>
      </c>
      <c r="C151" s="1" t="str">
        <f>TEXT(Penjualan_Dimsum[[#This Row],[Tanggal]],"mmmm")</f>
        <v>April</v>
      </c>
      <c r="D151" s="1" t="str">
        <f t="shared" si="5"/>
        <v>Weekday</v>
      </c>
      <c r="E151" t="s">
        <v>8</v>
      </c>
      <c r="F151" t="s">
        <v>9</v>
      </c>
      <c r="G151">
        <v>16</v>
      </c>
      <c r="H151">
        <v>12000</v>
      </c>
      <c r="I151">
        <v>192000</v>
      </c>
      <c r="J151" t="s">
        <v>13</v>
      </c>
    </row>
    <row r="152" spans="1:10" x14ac:dyDescent="0.25">
      <c r="A152" s="1" t="s">
        <v>56</v>
      </c>
      <c r="B152" s="1" t="str">
        <f t="shared" si="4"/>
        <v>Friday</v>
      </c>
      <c r="C152" s="1" t="str">
        <f>TEXT(Penjualan_Dimsum[[#This Row],[Tanggal]],"mmmm")</f>
        <v>May</v>
      </c>
      <c r="D152" s="1" t="str">
        <f t="shared" si="5"/>
        <v>Weekday</v>
      </c>
      <c r="E152" t="s">
        <v>12</v>
      </c>
      <c r="F152" t="s">
        <v>9</v>
      </c>
      <c r="G152">
        <v>7</v>
      </c>
      <c r="H152">
        <v>18000</v>
      </c>
      <c r="I152">
        <v>126000</v>
      </c>
      <c r="J152" t="s">
        <v>20</v>
      </c>
    </row>
    <row r="153" spans="1:10" x14ac:dyDescent="0.25">
      <c r="A153" s="1" t="s">
        <v>42</v>
      </c>
      <c r="B153" s="1" t="str">
        <f t="shared" si="4"/>
        <v>Saturday</v>
      </c>
      <c r="C153" s="1" t="str">
        <f>TEXT(Penjualan_Dimsum[[#This Row],[Tanggal]],"mmmm")</f>
        <v>May</v>
      </c>
      <c r="D153" s="1" t="str">
        <f t="shared" si="5"/>
        <v>Weekend</v>
      </c>
      <c r="E153" t="s">
        <v>26</v>
      </c>
      <c r="F153" t="s">
        <v>9</v>
      </c>
      <c r="G153">
        <v>14</v>
      </c>
      <c r="H153">
        <v>15000</v>
      </c>
      <c r="I153">
        <v>210000</v>
      </c>
      <c r="J153" t="s">
        <v>10</v>
      </c>
    </row>
    <row r="154" spans="1:10" x14ac:dyDescent="0.25">
      <c r="A154" s="1" t="s">
        <v>92</v>
      </c>
      <c r="B154" s="1" t="str">
        <f t="shared" si="4"/>
        <v>Sunday</v>
      </c>
      <c r="C154" s="1" t="str">
        <f>TEXT(Penjualan_Dimsum[[#This Row],[Tanggal]],"mmmm")</f>
        <v>May</v>
      </c>
      <c r="D154" s="1" t="str">
        <f t="shared" si="5"/>
        <v>Weekend</v>
      </c>
      <c r="E154" t="s">
        <v>26</v>
      </c>
      <c r="F154" t="s">
        <v>9</v>
      </c>
      <c r="G154">
        <v>19</v>
      </c>
      <c r="H154">
        <v>12000</v>
      </c>
      <c r="I154">
        <v>228000</v>
      </c>
      <c r="J154" t="s">
        <v>10</v>
      </c>
    </row>
    <row r="155" spans="1:10" x14ac:dyDescent="0.25">
      <c r="A155" s="1" t="s">
        <v>73</v>
      </c>
      <c r="B155" s="1" t="str">
        <f t="shared" si="4"/>
        <v>Tuesday</v>
      </c>
      <c r="C155" s="1" t="str">
        <f>TEXT(Penjualan_Dimsum[[#This Row],[Tanggal]],"mmmm")</f>
        <v>May</v>
      </c>
      <c r="D155" s="1" t="str">
        <f t="shared" si="5"/>
        <v>Weekday</v>
      </c>
      <c r="E155" t="s">
        <v>22</v>
      </c>
      <c r="F155" t="s">
        <v>9</v>
      </c>
      <c r="G155">
        <v>15</v>
      </c>
      <c r="H155">
        <v>20000</v>
      </c>
      <c r="I155">
        <v>300000</v>
      </c>
      <c r="J155" t="s">
        <v>18</v>
      </c>
    </row>
    <row r="156" spans="1:10" x14ac:dyDescent="0.25">
      <c r="A156" s="1" t="s">
        <v>93</v>
      </c>
      <c r="B156" s="1" t="str">
        <f t="shared" si="4"/>
        <v>Friday</v>
      </c>
      <c r="C156" s="1" t="str">
        <f>TEXT(Penjualan_Dimsum[[#This Row],[Tanggal]],"mmmm")</f>
        <v>May</v>
      </c>
      <c r="D156" s="1" t="str">
        <f t="shared" si="5"/>
        <v>Weekday</v>
      </c>
      <c r="E156" t="s">
        <v>26</v>
      </c>
      <c r="F156" t="s">
        <v>9</v>
      </c>
      <c r="G156">
        <v>5</v>
      </c>
      <c r="H156">
        <v>12000</v>
      </c>
      <c r="I156">
        <v>60000</v>
      </c>
      <c r="J156" t="s">
        <v>10</v>
      </c>
    </row>
    <row r="157" spans="1:10" x14ac:dyDescent="0.25">
      <c r="A157" s="1" t="s">
        <v>36</v>
      </c>
      <c r="B157" s="1" t="str">
        <f t="shared" si="4"/>
        <v>Sunday</v>
      </c>
      <c r="C157" s="1" t="str">
        <f>TEXT(Penjualan_Dimsum[[#This Row],[Tanggal]],"mmmm")</f>
        <v>June</v>
      </c>
      <c r="D157" s="1" t="str">
        <f t="shared" si="5"/>
        <v>Weekend</v>
      </c>
      <c r="E157" t="s">
        <v>26</v>
      </c>
      <c r="F157" t="s">
        <v>9</v>
      </c>
      <c r="G157">
        <v>18</v>
      </c>
      <c r="H157">
        <v>15000</v>
      </c>
      <c r="I157">
        <v>270000</v>
      </c>
      <c r="J157" t="s">
        <v>13</v>
      </c>
    </row>
    <row r="158" spans="1:10" x14ac:dyDescent="0.25">
      <c r="A158" s="1" t="s">
        <v>46</v>
      </c>
      <c r="B158" s="1" t="str">
        <f t="shared" si="4"/>
        <v>Thursday</v>
      </c>
      <c r="C158" s="1" t="str">
        <f>TEXT(Penjualan_Dimsum[[#This Row],[Tanggal]],"mmmm")</f>
        <v>June</v>
      </c>
      <c r="D158" s="1" t="str">
        <f t="shared" si="5"/>
        <v>Weekday</v>
      </c>
      <c r="E158" t="s">
        <v>16</v>
      </c>
      <c r="F158" t="s">
        <v>9</v>
      </c>
      <c r="G158">
        <v>7</v>
      </c>
      <c r="H158">
        <v>15000</v>
      </c>
      <c r="I158">
        <v>105000</v>
      </c>
      <c r="J158" t="s">
        <v>10</v>
      </c>
    </row>
    <row r="159" spans="1:10" x14ac:dyDescent="0.25">
      <c r="A159" s="1" t="s">
        <v>23</v>
      </c>
      <c r="B159" s="1" t="str">
        <f t="shared" si="4"/>
        <v>Friday</v>
      </c>
      <c r="C159" s="1" t="str">
        <f>TEXT(Penjualan_Dimsum[[#This Row],[Tanggal]],"mmmm")</f>
        <v>June</v>
      </c>
      <c r="D159" s="1" t="str">
        <f t="shared" si="5"/>
        <v>Weekday</v>
      </c>
      <c r="E159" t="s">
        <v>8</v>
      </c>
      <c r="F159" t="s">
        <v>9</v>
      </c>
      <c r="G159">
        <v>15</v>
      </c>
      <c r="H159">
        <v>12000</v>
      </c>
      <c r="I159">
        <v>180000</v>
      </c>
      <c r="J159" t="s">
        <v>18</v>
      </c>
    </row>
    <row r="160" spans="1:10" x14ac:dyDescent="0.25">
      <c r="A160" s="1" t="s">
        <v>47</v>
      </c>
      <c r="B160" s="1" t="str">
        <f t="shared" si="4"/>
        <v>Friday</v>
      </c>
      <c r="C160" s="1" t="str">
        <f>TEXT(Penjualan_Dimsum[[#This Row],[Tanggal]],"mmmm")</f>
        <v>May</v>
      </c>
      <c r="D160" s="1" t="str">
        <f t="shared" si="5"/>
        <v>Weekday</v>
      </c>
      <c r="E160" t="s">
        <v>26</v>
      </c>
      <c r="F160" t="s">
        <v>9</v>
      </c>
      <c r="G160">
        <v>16</v>
      </c>
      <c r="H160">
        <v>15000</v>
      </c>
      <c r="I160">
        <v>240000</v>
      </c>
      <c r="J160" t="s">
        <v>18</v>
      </c>
    </row>
    <row r="161" spans="1:10" x14ac:dyDescent="0.25">
      <c r="A161" s="1" t="s">
        <v>81</v>
      </c>
      <c r="B161" s="1" t="str">
        <f t="shared" si="4"/>
        <v>Thursday</v>
      </c>
      <c r="C161" s="1" t="str">
        <f>TEXT(Penjualan_Dimsum[[#This Row],[Tanggal]],"mmmm")</f>
        <v>June</v>
      </c>
      <c r="D161" s="1" t="str">
        <f t="shared" si="5"/>
        <v>Weekday</v>
      </c>
      <c r="E161" t="s">
        <v>16</v>
      </c>
      <c r="F161" t="s">
        <v>9</v>
      </c>
      <c r="G161">
        <v>7</v>
      </c>
      <c r="H161">
        <v>20000</v>
      </c>
      <c r="I161">
        <v>140000</v>
      </c>
      <c r="J161" t="s">
        <v>20</v>
      </c>
    </row>
    <row r="162" spans="1:10" x14ac:dyDescent="0.25">
      <c r="A162" s="1" t="s">
        <v>94</v>
      </c>
      <c r="B162" s="1" t="str">
        <f t="shared" si="4"/>
        <v>Saturday</v>
      </c>
      <c r="C162" s="1" t="str">
        <f>TEXT(Penjualan_Dimsum[[#This Row],[Tanggal]],"mmmm")</f>
        <v>April</v>
      </c>
      <c r="D162" s="1" t="str">
        <f t="shared" si="5"/>
        <v>Weekend</v>
      </c>
      <c r="E162" t="s">
        <v>8</v>
      </c>
      <c r="F162" t="s">
        <v>9</v>
      </c>
      <c r="G162">
        <v>17</v>
      </c>
      <c r="H162">
        <v>20000</v>
      </c>
      <c r="I162">
        <v>340000</v>
      </c>
      <c r="J162" t="s">
        <v>18</v>
      </c>
    </row>
    <row r="163" spans="1:10" x14ac:dyDescent="0.25">
      <c r="A163" s="1" t="s">
        <v>95</v>
      </c>
      <c r="B163" s="1" t="str">
        <f t="shared" si="4"/>
        <v>Thursday</v>
      </c>
      <c r="C163" s="1" t="str">
        <f>TEXT(Penjualan_Dimsum[[#This Row],[Tanggal]],"mmmm")</f>
        <v>June</v>
      </c>
      <c r="D163" s="1" t="str">
        <f t="shared" si="5"/>
        <v>Weekday</v>
      </c>
      <c r="E163" t="s">
        <v>22</v>
      </c>
      <c r="F163" t="s">
        <v>9</v>
      </c>
      <c r="G163">
        <v>9</v>
      </c>
      <c r="H163">
        <v>18000</v>
      </c>
      <c r="I163">
        <v>162000</v>
      </c>
      <c r="J163" t="s">
        <v>10</v>
      </c>
    </row>
    <row r="164" spans="1:10" x14ac:dyDescent="0.25">
      <c r="A164" s="1" t="s">
        <v>78</v>
      </c>
      <c r="B164" s="1" t="str">
        <f t="shared" si="4"/>
        <v>Friday</v>
      </c>
      <c r="C164" s="1" t="str">
        <f>TEXT(Penjualan_Dimsum[[#This Row],[Tanggal]],"mmmm")</f>
        <v>April</v>
      </c>
      <c r="D164" s="1" t="str">
        <f t="shared" si="5"/>
        <v>Weekday</v>
      </c>
      <c r="E164" t="s">
        <v>16</v>
      </c>
      <c r="F164" t="s">
        <v>9</v>
      </c>
      <c r="G164">
        <v>9</v>
      </c>
      <c r="H164">
        <v>15000</v>
      </c>
      <c r="I164">
        <v>135000</v>
      </c>
      <c r="J164" t="s">
        <v>18</v>
      </c>
    </row>
    <row r="165" spans="1:10" x14ac:dyDescent="0.25">
      <c r="A165" s="1" t="s">
        <v>72</v>
      </c>
      <c r="B165" s="1" t="str">
        <f t="shared" si="4"/>
        <v>Sunday</v>
      </c>
      <c r="C165" s="1" t="str">
        <f>TEXT(Penjualan_Dimsum[[#This Row],[Tanggal]],"mmmm")</f>
        <v>May</v>
      </c>
      <c r="D165" s="1" t="str">
        <f t="shared" si="5"/>
        <v>Weekend</v>
      </c>
      <c r="E165" t="s">
        <v>12</v>
      </c>
      <c r="F165" t="s">
        <v>9</v>
      </c>
      <c r="G165">
        <v>2</v>
      </c>
      <c r="H165">
        <v>12000</v>
      </c>
      <c r="I165">
        <v>24000</v>
      </c>
      <c r="J165" t="s">
        <v>20</v>
      </c>
    </row>
    <row r="166" spans="1:10" x14ac:dyDescent="0.25">
      <c r="A166" s="1" t="s">
        <v>24</v>
      </c>
      <c r="B166" s="1" t="str">
        <f t="shared" si="4"/>
        <v>Wednesday</v>
      </c>
      <c r="C166" s="1" t="str">
        <f>TEXT(Penjualan_Dimsum[[#This Row],[Tanggal]],"mmmm")</f>
        <v>June</v>
      </c>
      <c r="D166" s="1" t="str">
        <f t="shared" si="5"/>
        <v>Weekday</v>
      </c>
      <c r="E166" t="s">
        <v>16</v>
      </c>
      <c r="F166" t="s">
        <v>9</v>
      </c>
      <c r="G166">
        <v>2</v>
      </c>
      <c r="H166">
        <v>12000</v>
      </c>
      <c r="I166">
        <v>24000</v>
      </c>
      <c r="J166" t="s">
        <v>18</v>
      </c>
    </row>
    <row r="167" spans="1:10" x14ac:dyDescent="0.25">
      <c r="A167" s="1" t="s">
        <v>82</v>
      </c>
      <c r="B167" s="1" t="str">
        <f t="shared" si="4"/>
        <v>Sunday</v>
      </c>
      <c r="C167" s="1" t="str">
        <f>TEXT(Penjualan_Dimsum[[#This Row],[Tanggal]],"mmmm")</f>
        <v>June</v>
      </c>
      <c r="D167" s="1" t="str">
        <f t="shared" si="5"/>
        <v>Weekend</v>
      </c>
      <c r="E167" t="s">
        <v>16</v>
      </c>
      <c r="F167" t="s">
        <v>9</v>
      </c>
      <c r="G167">
        <v>10</v>
      </c>
      <c r="H167">
        <v>15000</v>
      </c>
      <c r="I167">
        <v>150000</v>
      </c>
      <c r="J167" t="s">
        <v>13</v>
      </c>
    </row>
    <row r="168" spans="1:10" x14ac:dyDescent="0.25">
      <c r="A168" s="1" t="s">
        <v>23</v>
      </c>
      <c r="B168" s="1" t="str">
        <f t="shared" si="4"/>
        <v>Friday</v>
      </c>
      <c r="C168" s="1" t="str">
        <f>TEXT(Penjualan_Dimsum[[#This Row],[Tanggal]],"mmmm")</f>
        <v>June</v>
      </c>
      <c r="D168" s="1" t="str">
        <f t="shared" si="5"/>
        <v>Weekday</v>
      </c>
      <c r="E168" t="s">
        <v>12</v>
      </c>
      <c r="F168" t="s">
        <v>9</v>
      </c>
      <c r="G168">
        <v>2</v>
      </c>
      <c r="H168">
        <v>15000</v>
      </c>
      <c r="I168">
        <v>30000</v>
      </c>
      <c r="J168" t="s">
        <v>10</v>
      </c>
    </row>
    <row r="169" spans="1:10" x14ac:dyDescent="0.25">
      <c r="A169" s="1" t="s">
        <v>69</v>
      </c>
      <c r="B169" s="1" t="str">
        <f t="shared" si="4"/>
        <v>Saturday</v>
      </c>
      <c r="C169" s="1" t="str">
        <f>TEXT(Penjualan_Dimsum[[#This Row],[Tanggal]],"mmmm")</f>
        <v>June</v>
      </c>
      <c r="D169" s="1" t="str">
        <f t="shared" si="5"/>
        <v>Weekend</v>
      </c>
      <c r="E169" t="s">
        <v>8</v>
      </c>
      <c r="F169" t="s">
        <v>9</v>
      </c>
      <c r="G169">
        <v>7</v>
      </c>
      <c r="H169">
        <v>12000</v>
      </c>
      <c r="I169">
        <v>84000</v>
      </c>
      <c r="J169" t="s">
        <v>20</v>
      </c>
    </row>
    <row r="170" spans="1:10" x14ac:dyDescent="0.25">
      <c r="A170" s="1" t="s">
        <v>77</v>
      </c>
      <c r="B170" s="1" t="str">
        <f t="shared" si="4"/>
        <v>Monday</v>
      </c>
      <c r="C170" s="1" t="str">
        <f>TEXT(Penjualan_Dimsum[[#This Row],[Tanggal]],"mmmm")</f>
        <v>June</v>
      </c>
      <c r="D170" s="1" t="str">
        <f t="shared" si="5"/>
        <v>Weekday</v>
      </c>
      <c r="E170" t="s">
        <v>12</v>
      </c>
      <c r="F170" t="s">
        <v>9</v>
      </c>
      <c r="G170">
        <v>1</v>
      </c>
      <c r="H170">
        <v>12000</v>
      </c>
      <c r="I170">
        <v>12000</v>
      </c>
      <c r="J170" t="s">
        <v>18</v>
      </c>
    </row>
    <row r="171" spans="1:10" x14ac:dyDescent="0.25">
      <c r="A171" s="1" t="s">
        <v>28</v>
      </c>
      <c r="B171" s="1" t="str">
        <f t="shared" si="4"/>
        <v>Tuesday</v>
      </c>
      <c r="C171" s="1" t="str">
        <f>TEXT(Penjualan_Dimsum[[#This Row],[Tanggal]],"mmmm")</f>
        <v>June</v>
      </c>
      <c r="D171" s="1" t="str">
        <f t="shared" si="5"/>
        <v>Weekday</v>
      </c>
      <c r="E171" t="s">
        <v>16</v>
      </c>
      <c r="F171" t="s">
        <v>9</v>
      </c>
      <c r="G171">
        <v>12</v>
      </c>
      <c r="H171">
        <v>20000</v>
      </c>
      <c r="I171">
        <v>240000</v>
      </c>
      <c r="J171" t="s">
        <v>10</v>
      </c>
    </row>
    <row r="172" spans="1:10" x14ac:dyDescent="0.25">
      <c r="A172" s="1" t="s">
        <v>46</v>
      </c>
      <c r="B172" s="1" t="str">
        <f t="shared" si="4"/>
        <v>Thursday</v>
      </c>
      <c r="C172" s="1" t="str">
        <f>TEXT(Penjualan_Dimsum[[#This Row],[Tanggal]],"mmmm")</f>
        <v>June</v>
      </c>
      <c r="D172" s="1" t="str">
        <f t="shared" si="5"/>
        <v>Weekday</v>
      </c>
      <c r="E172" t="s">
        <v>26</v>
      </c>
      <c r="F172" t="s">
        <v>9</v>
      </c>
      <c r="G172">
        <v>16</v>
      </c>
      <c r="H172">
        <v>12000</v>
      </c>
      <c r="I172">
        <v>192000</v>
      </c>
      <c r="J172" t="s">
        <v>10</v>
      </c>
    </row>
    <row r="173" spans="1:10" x14ac:dyDescent="0.25">
      <c r="A173" s="1" t="s">
        <v>45</v>
      </c>
      <c r="B173" s="1" t="str">
        <f t="shared" si="4"/>
        <v>Saturday</v>
      </c>
      <c r="C173" s="1" t="str">
        <f>TEXT(Penjualan_Dimsum[[#This Row],[Tanggal]],"mmmm")</f>
        <v>May</v>
      </c>
      <c r="D173" s="1" t="str">
        <f t="shared" si="5"/>
        <v>Weekend</v>
      </c>
      <c r="E173" t="s">
        <v>8</v>
      </c>
      <c r="F173" t="s">
        <v>9</v>
      </c>
      <c r="G173">
        <v>9</v>
      </c>
      <c r="H173">
        <v>20000</v>
      </c>
      <c r="I173">
        <v>180000</v>
      </c>
      <c r="J173" t="s">
        <v>10</v>
      </c>
    </row>
    <row r="174" spans="1:10" x14ac:dyDescent="0.25">
      <c r="A174" s="1" t="s">
        <v>32</v>
      </c>
      <c r="B174" s="1" t="str">
        <f t="shared" si="4"/>
        <v>Tuesday</v>
      </c>
      <c r="C174" s="1" t="str">
        <f>TEXT(Penjualan_Dimsum[[#This Row],[Tanggal]],"mmmm")</f>
        <v>May</v>
      </c>
      <c r="D174" s="1" t="str">
        <f t="shared" si="5"/>
        <v>Weekday</v>
      </c>
      <c r="E174" t="s">
        <v>22</v>
      </c>
      <c r="F174" t="s">
        <v>9</v>
      </c>
      <c r="G174">
        <v>14</v>
      </c>
      <c r="H174">
        <v>12000</v>
      </c>
      <c r="I174">
        <v>168000</v>
      </c>
      <c r="J174" t="s">
        <v>20</v>
      </c>
    </row>
    <row r="175" spans="1:10" x14ac:dyDescent="0.25">
      <c r="A175" s="1" t="s">
        <v>96</v>
      </c>
      <c r="B175" s="1" t="str">
        <f t="shared" si="4"/>
        <v>Wednesday</v>
      </c>
      <c r="C175" s="1" t="str">
        <f>TEXT(Penjualan_Dimsum[[#This Row],[Tanggal]],"mmmm")</f>
        <v>May</v>
      </c>
      <c r="D175" s="1" t="str">
        <f t="shared" si="5"/>
        <v>Weekday</v>
      </c>
      <c r="E175" t="s">
        <v>26</v>
      </c>
      <c r="F175" t="s">
        <v>9</v>
      </c>
      <c r="G175">
        <v>10</v>
      </c>
      <c r="H175">
        <v>15000</v>
      </c>
      <c r="I175">
        <v>150000</v>
      </c>
      <c r="J175" t="s">
        <v>10</v>
      </c>
    </row>
    <row r="176" spans="1:10" x14ac:dyDescent="0.25">
      <c r="A176" s="1" t="s">
        <v>97</v>
      </c>
      <c r="B176" s="1" t="str">
        <f t="shared" si="4"/>
        <v>Thursday</v>
      </c>
      <c r="C176" s="1" t="str">
        <f>TEXT(Penjualan_Dimsum[[#This Row],[Tanggal]],"mmmm")</f>
        <v>May</v>
      </c>
      <c r="D176" s="1" t="str">
        <f t="shared" si="5"/>
        <v>Weekday</v>
      </c>
      <c r="E176" t="s">
        <v>12</v>
      </c>
      <c r="F176" t="s">
        <v>9</v>
      </c>
      <c r="G176">
        <v>19</v>
      </c>
      <c r="H176">
        <v>18000</v>
      </c>
      <c r="I176">
        <v>342000</v>
      </c>
      <c r="J176" t="s">
        <v>18</v>
      </c>
    </row>
    <row r="177" spans="1:10" x14ac:dyDescent="0.25">
      <c r="A177" s="1" t="s">
        <v>38</v>
      </c>
      <c r="B177" s="1" t="str">
        <f t="shared" si="4"/>
        <v>Thursday</v>
      </c>
      <c r="C177" s="1" t="str">
        <f>TEXT(Penjualan_Dimsum[[#This Row],[Tanggal]],"mmmm")</f>
        <v>May</v>
      </c>
      <c r="D177" s="1" t="str">
        <f t="shared" si="5"/>
        <v>Weekday</v>
      </c>
      <c r="E177" t="s">
        <v>8</v>
      </c>
      <c r="F177" t="s">
        <v>9</v>
      </c>
      <c r="G177">
        <v>1</v>
      </c>
      <c r="H177">
        <v>15000</v>
      </c>
      <c r="I177">
        <v>15000</v>
      </c>
      <c r="J177" t="s">
        <v>10</v>
      </c>
    </row>
    <row r="178" spans="1:10" x14ac:dyDescent="0.25">
      <c r="A178" s="1" t="s">
        <v>54</v>
      </c>
      <c r="B178" s="1" t="str">
        <f t="shared" si="4"/>
        <v>Sunday</v>
      </c>
      <c r="C178" s="1" t="str">
        <f>TEXT(Penjualan_Dimsum[[#This Row],[Tanggal]],"mmmm")</f>
        <v>June</v>
      </c>
      <c r="D178" s="1" t="str">
        <f t="shared" si="5"/>
        <v>Weekend</v>
      </c>
      <c r="E178" t="s">
        <v>12</v>
      </c>
      <c r="F178" t="s">
        <v>9</v>
      </c>
      <c r="G178">
        <v>10</v>
      </c>
      <c r="H178">
        <v>15000</v>
      </c>
      <c r="I178">
        <v>150000</v>
      </c>
      <c r="J178" t="s">
        <v>10</v>
      </c>
    </row>
    <row r="179" spans="1:10" x14ac:dyDescent="0.25">
      <c r="A179" s="1" t="s">
        <v>71</v>
      </c>
      <c r="B179" s="1" t="str">
        <f t="shared" si="4"/>
        <v>Sunday</v>
      </c>
      <c r="C179" s="1" t="str">
        <f>TEXT(Penjualan_Dimsum[[#This Row],[Tanggal]],"mmmm")</f>
        <v>May</v>
      </c>
      <c r="D179" s="1" t="str">
        <f t="shared" si="5"/>
        <v>Weekend</v>
      </c>
      <c r="E179" t="s">
        <v>22</v>
      </c>
      <c r="F179" t="s">
        <v>9</v>
      </c>
      <c r="G179">
        <v>20</v>
      </c>
      <c r="H179">
        <v>15000</v>
      </c>
      <c r="I179">
        <v>300000</v>
      </c>
      <c r="J179" t="s">
        <v>13</v>
      </c>
    </row>
    <row r="180" spans="1:10" x14ac:dyDescent="0.25">
      <c r="A180" s="1" t="s">
        <v>90</v>
      </c>
      <c r="B180" s="1" t="str">
        <f t="shared" si="4"/>
        <v>Tuesday</v>
      </c>
      <c r="C180" s="1" t="str">
        <f>TEXT(Penjualan_Dimsum[[#This Row],[Tanggal]],"mmmm")</f>
        <v>April</v>
      </c>
      <c r="D180" s="1" t="str">
        <f t="shared" si="5"/>
        <v>Weekday</v>
      </c>
      <c r="E180" t="s">
        <v>12</v>
      </c>
      <c r="F180" t="s">
        <v>9</v>
      </c>
      <c r="G180">
        <v>8</v>
      </c>
      <c r="H180">
        <v>18000</v>
      </c>
      <c r="I180">
        <v>144000</v>
      </c>
      <c r="J180" t="s">
        <v>10</v>
      </c>
    </row>
    <row r="181" spans="1:10" x14ac:dyDescent="0.25">
      <c r="A181" s="1" t="s">
        <v>45</v>
      </c>
      <c r="B181" s="1" t="str">
        <f t="shared" si="4"/>
        <v>Saturday</v>
      </c>
      <c r="C181" s="1" t="str">
        <f>TEXT(Penjualan_Dimsum[[#This Row],[Tanggal]],"mmmm")</f>
        <v>May</v>
      </c>
      <c r="D181" s="1" t="str">
        <f t="shared" si="5"/>
        <v>Weekend</v>
      </c>
      <c r="E181" t="s">
        <v>26</v>
      </c>
      <c r="F181" t="s">
        <v>9</v>
      </c>
      <c r="G181">
        <v>14</v>
      </c>
      <c r="H181">
        <v>18000</v>
      </c>
      <c r="I181">
        <v>252000</v>
      </c>
      <c r="J181" t="s">
        <v>10</v>
      </c>
    </row>
    <row r="182" spans="1:10" x14ac:dyDescent="0.25">
      <c r="A182" s="1" t="s">
        <v>52</v>
      </c>
      <c r="B182" s="1" t="str">
        <f t="shared" si="4"/>
        <v>Wednesday</v>
      </c>
      <c r="C182" s="1" t="str">
        <f>TEXT(Penjualan_Dimsum[[#This Row],[Tanggal]],"mmmm")</f>
        <v>June</v>
      </c>
      <c r="D182" s="1" t="str">
        <f t="shared" si="5"/>
        <v>Weekday</v>
      </c>
      <c r="E182" t="s">
        <v>22</v>
      </c>
      <c r="F182" t="s">
        <v>9</v>
      </c>
      <c r="G182">
        <v>9</v>
      </c>
      <c r="H182">
        <v>12000</v>
      </c>
      <c r="I182">
        <v>108000</v>
      </c>
      <c r="J182" t="s">
        <v>20</v>
      </c>
    </row>
    <row r="183" spans="1:10" x14ac:dyDescent="0.25">
      <c r="A183" s="1" t="s">
        <v>30</v>
      </c>
      <c r="B183" s="1" t="str">
        <f t="shared" si="4"/>
        <v>Friday</v>
      </c>
      <c r="C183" s="1" t="str">
        <f>TEXT(Penjualan_Dimsum[[#This Row],[Tanggal]],"mmmm")</f>
        <v>April</v>
      </c>
      <c r="D183" s="1" t="str">
        <f t="shared" si="5"/>
        <v>Weekday</v>
      </c>
      <c r="E183" t="s">
        <v>16</v>
      </c>
      <c r="F183" t="s">
        <v>9</v>
      </c>
      <c r="G183">
        <v>6</v>
      </c>
      <c r="H183">
        <v>15000</v>
      </c>
      <c r="I183">
        <v>90000</v>
      </c>
      <c r="J183" t="s">
        <v>13</v>
      </c>
    </row>
    <row r="184" spans="1:10" x14ac:dyDescent="0.25">
      <c r="A184" s="1" t="s">
        <v>92</v>
      </c>
      <c r="B184" s="1" t="str">
        <f t="shared" si="4"/>
        <v>Sunday</v>
      </c>
      <c r="C184" s="1" t="str">
        <f>TEXT(Penjualan_Dimsum[[#This Row],[Tanggal]],"mmmm")</f>
        <v>May</v>
      </c>
      <c r="D184" s="1" t="str">
        <f t="shared" si="5"/>
        <v>Weekend</v>
      </c>
      <c r="E184" t="s">
        <v>22</v>
      </c>
      <c r="F184" t="s">
        <v>9</v>
      </c>
      <c r="G184">
        <v>13</v>
      </c>
      <c r="H184">
        <v>15000</v>
      </c>
      <c r="I184">
        <v>195000</v>
      </c>
      <c r="J184" t="s">
        <v>13</v>
      </c>
    </row>
    <row r="185" spans="1:10" x14ac:dyDescent="0.25">
      <c r="A185" s="1" t="s">
        <v>33</v>
      </c>
      <c r="B185" s="1" t="str">
        <f t="shared" si="4"/>
        <v>Monday</v>
      </c>
      <c r="C185" s="1" t="str">
        <f>TEXT(Penjualan_Dimsum[[#This Row],[Tanggal]],"mmmm")</f>
        <v>April</v>
      </c>
      <c r="D185" s="1" t="str">
        <f t="shared" si="5"/>
        <v>Weekday</v>
      </c>
      <c r="E185" t="s">
        <v>22</v>
      </c>
      <c r="F185" t="s">
        <v>9</v>
      </c>
      <c r="G185">
        <v>6</v>
      </c>
      <c r="H185">
        <v>12000</v>
      </c>
      <c r="I185">
        <v>72000</v>
      </c>
      <c r="J185" t="s">
        <v>13</v>
      </c>
    </row>
    <row r="186" spans="1:10" x14ac:dyDescent="0.25">
      <c r="A186" s="1" t="s">
        <v>98</v>
      </c>
      <c r="B186" s="1" t="str">
        <f t="shared" si="4"/>
        <v>Monday</v>
      </c>
      <c r="C186" s="1" t="str">
        <f>TEXT(Penjualan_Dimsum[[#This Row],[Tanggal]],"mmmm")</f>
        <v>April</v>
      </c>
      <c r="D186" s="1" t="str">
        <f t="shared" si="5"/>
        <v>Weekday</v>
      </c>
      <c r="E186" t="s">
        <v>12</v>
      </c>
      <c r="F186" t="s">
        <v>9</v>
      </c>
      <c r="G186">
        <v>7</v>
      </c>
      <c r="H186">
        <v>18000</v>
      </c>
      <c r="I186">
        <v>126000</v>
      </c>
      <c r="J186" t="s">
        <v>13</v>
      </c>
    </row>
    <row r="187" spans="1:10" x14ac:dyDescent="0.25">
      <c r="A187" s="1" t="s">
        <v>75</v>
      </c>
      <c r="B187" s="1" t="str">
        <f t="shared" si="4"/>
        <v>Monday</v>
      </c>
      <c r="C187" s="1" t="str">
        <f>TEXT(Penjualan_Dimsum[[#This Row],[Tanggal]],"mmmm")</f>
        <v>May</v>
      </c>
      <c r="D187" s="1" t="str">
        <f t="shared" si="5"/>
        <v>Weekday</v>
      </c>
      <c r="E187" t="s">
        <v>22</v>
      </c>
      <c r="F187" t="s">
        <v>9</v>
      </c>
      <c r="G187">
        <v>1</v>
      </c>
      <c r="H187">
        <v>12000</v>
      </c>
      <c r="I187">
        <v>12000</v>
      </c>
      <c r="J187" t="s">
        <v>18</v>
      </c>
    </row>
    <row r="188" spans="1:10" x14ac:dyDescent="0.25">
      <c r="A188" s="1" t="s">
        <v>48</v>
      </c>
      <c r="B188" s="1" t="str">
        <f t="shared" si="4"/>
        <v>Tuesday</v>
      </c>
      <c r="C188" s="1" t="str">
        <f>TEXT(Penjualan_Dimsum[[#This Row],[Tanggal]],"mmmm")</f>
        <v>April</v>
      </c>
      <c r="D188" s="1" t="str">
        <f t="shared" si="5"/>
        <v>Weekday</v>
      </c>
      <c r="E188" t="s">
        <v>22</v>
      </c>
      <c r="F188" t="s">
        <v>9</v>
      </c>
      <c r="G188">
        <v>15</v>
      </c>
      <c r="H188">
        <v>20000</v>
      </c>
      <c r="I188">
        <v>300000</v>
      </c>
      <c r="J188" t="s">
        <v>13</v>
      </c>
    </row>
    <row r="189" spans="1:10" x14ac:dyDescent="0.25">
      <c r="A189" s="1" t="s">
        <v>40</v>
      </c>
      <c r="B189" s="1" t="str">
        <f t="shared" si="4"/>
        <v>Thursday</v>
      </c>
      <c r="C189" s="1" t="str">
        <f>TEXT(Penjualan_Dimsum[[#This Row],[Tanggal]],"mmmm")</f>
        <v>June</v>
      </c>
      <c r="D189" s="1" t="str">
        <f t="shared" si="5"/>
        <v>Weekday</v>
      </c>
      <c r="E189" t="s">
        <v>8</v>
      </c>
      <c r="F189" t="s">
        <v>9</v>
      </c>
      <c r="G189">
        <v>18</v>
      </c>
      <c r="H189">
        <v>12000</v>
      </c>
      <c r="I189">
        <v>216000</v>
      </c>
      <c r="J189" t="s">
        <v>10</v>
      </c>
    </row>
    <row r="190" spans="1:10" x14ac:dyDescent="0.25">
      <c r="A190" s="1" t="s">
        <v>51</v>
      </c>
      <c r="B190" s="1" t="str">
        <f t="shared" si="4"/>
        <v>Monday</v>
      </c>
      <c r="C190" s="1" t="str">
        <f>TEXT(Penjualan_Dimsum[[#This Row],[Tanggal]],"mmmm")</f>
        <v>June</v>
      </c>
      <c r="D190" s="1" t="str">
        <f t="shared" si="5"/>
        <v>Weekday</v>
      </c>
      <c r="E190" t="s">
        <v>26</v>
      </c>
      <c r="F190" t="s">
        <v>9</v>
      </c>
      <c r="G190">
        <v>2</v>
      </c>
      <c r="H190">
        <v>12000</v>
      </c>
      <c r="I190">
        <v>24000</v>
      </c>
      <c r="J190" t="s">
        <v>10</v>
      </c>
    </row>
    <row r="191" spans="1:10" x14ac:dyDescent="0.25">
      <c r="A191" s="1" t="s">
        <v>35</v>
      </c>
      <c r="B191" s="1" t="str">
        <f t="shared" si="4"/>
        <v>Saturday</v>
      </c>
      <c r="C191" s="1" t="str">
        <f>TEXT(Penjualan_Dimsum[[#This Row],[Tanggal]],"mmmm")</f>
        <v>June</v>
      </c>
      <c r="D191" s="1" t="str">
        <f t="shared" si="5"/>
        <v>Weekend</v>
      </c>
      <c r="E191" t="s">
        <v>16</v>
      </c>
      <c r="F191" t="s">
        <v>9</v>
      </c>
      <c r="G191">
        <v>5</v>
      </c>
      <c r="H191">
        <v>15000</v>
      </c>
      <c r="I191">
        <v>75000</v>
      </c>
      <c r="J191" t="s">
        <v>10</v>
      </c>
    </row>
    <row r="192" spans="1:10" x14ac:dyDescent="0.25">
      <c r="A192" s="1" t="s">
        <v>65</v>
      </c>
      <c r="B192" s="1" t="str">
        <f t="shared" si="4"/>
        <v>Sunday</v>
      </c>
      <c r="C192" s="1" t="str">
        <f>TEXT(Penjualan_Dimsum[[#This Row],[Tanggal]],"mmmm")</f>
        <v>May</v>
      </c>
      <c r="D192" s="1" t="str">
        <f t="shared" si="5"/>
        <v>Weekend</v>
      </c>
      <c r="E192" t="s">
        <v>26</v>
      </c>
      <c r="F192" t="s">
        <v>9</v>
      </c>
      <c r="G192">
        <v>1</v>
      </c>
      <c r="H192">
        <v>15000</v>
      </c>
      <c r="I192">
        <v>15000</v>
      </c>
      <c r="J192" t="s">
        <v>10</v>
      </c>
    </row>
    <row r="193" spans="1:10" x14ac:dyDescent="0.25">
      <c r="A193" s="1" t="s">
        <v>74</v>
      </c>
      <c r="B193" s="1" t="str">
        <f t="shared" si="4"/>
        <v>Monday</v>
      </c>
      <c r="C193" s="1" t="str">
        <f>TEXT(Penjualan_Dimsum[[#This Row],[Tanggal]],"mmmm")</f>
        <v>May</v>
      </c>
      <c r="D193" s="1" t="str">
        <f t="shared" si="5"/>
        <v>Weekday</v>
      </c>
      <c r="E193" t="s">
        <v>12</v>
      </c>
      <c r="F193" t="s">
        <v>9</v>
      </c>
      <c r="G193">
        <v>3</v>
      </c>
      <c r="H193">
        <v>18000</v>
      </c>
      <c r="I193">
        <v>54000</v>
      </c>
      <c r="J193" t="s">
        <v>18</v>
      </c>
    </row>
    <row r="194" spans="1:10" x14ac:dyDescent="0.25">
      <c r="A194" s="1" t="s">
        <v>14</v>
      </c>
      <c r="B194" s="1" t="str">
        <f t="shared" si="4"/>
        <v>Monday</v>
      </c>
      <c r="C194" s="1" t="str">
        <f>TEXT(Penjualan_Dimsum[[#This Row],[Tanggal]],"mmmm")</f>
        <v>June</v>
      </c>
      <c r="D194" s="1" t="str">
        <f t="shared" si="5"/>
        <v>Weekday</v>
      </c>
      <c r="E194" t="s">
        <v>22</v>
      </c>
      <c r="F194" t="s">
        <v>9</v>
      </c>
      <c r="G194">
        <v>1</v>
      </c>
      <c r="H194">
        <v>20000</v>
      </c>
      <c r="I194">
        <v>20000</v>
      </c>
      <c r="J194" t="s">
        <v>18</v>
      </c>
    </row>
    <row r="195" spans="1:10" x14ac:dyDescent="0.25">
      <c r="A195" s="1" t="s">
        <v>37</v>
      </c>
      <c r="B195" s="1" t="str">
        <f t="shared" ref="B195:B258" si="6">TEXT(A195,"DDDD")</f>
        <v>Thursday</v>
      </c>
      <c r="C195" s="1" t="str">
        <f>TEXT(Penjualan_Dimsum[[#This Row],[Tanggal]],"mmmm")</f>
        <v>April</v>
      </c>
      <c r="D195" s="1" t="str">
        <f t="shared" ref="D195:D258" si="7">IF(OR(B195="Saturday",B195="Sunday"),"Weekend","Weekday")</f>
        <v>Weekday</v>
      </c>
      <c r="E195" t="s">
        <v>12</v>
      </c>
      <c r="F195" t="s">
        <v>9</v>
      </c>
      <c r="G195">
        <v>10</v>
      </c>
      <c r="H195">
        <v>12000</v>
      </c>
      <c r="I195">
        <v>120000</v>
      </c>
      <c r="J195" t="s">
        <v>13</v>
      </c>
    </row>
    <row r="196" spans="1:10" x14ac:dyDescent="0.25">
      <c r="A196" s="1" t="s">
        <v>99</v>
      </c>
      <c r="B196" s="1" t="str">
        <f t="shared" si="6"/>
        <v>Saturday</v>
      </c>
      <c r="C196" s="1" t="str">
        <f>TEXT(Penjualan_Dimsum[[#This Row],[Tanggal]],"mmmm")</f>
        <v>May</v>
      </c>
      <c r="D196" s="1" t="str">
        <f t="shared" si="7"/>
        <v>Weekend</v>
      </c>
      <c r="E196" t="s">
        <v>12</v>
      </c>
      <c r="F196" t="s">
        <v>9</v>
      </c>
      <c r="G196">
        <v>1</v>
      </c>
      <c r="H196">
        <v>12000</v>
      </c>
      <c r="I196">
        <v>12000</v>
      </c>
      <c r="J196" t="s">
        <v>10</v>
      </c>
    </row>
    <row r="197" spans="1:10" x14ac:dyDescent="0.25">
      <c r="A197" s="1" t="s">
        <v>25</v>
      </c>
      <c r="B197" s="1" t="str">
        <f t="shared" si="6"/>
        <v>Friday</v>
      </c>
      <c r="C197" s="1" t="str">
        <f>TEXT(Penjualan_Dimsum[[#This Row],[Tanggal]],"mmmm")</f>
        <v>May</v>
      </c>
      <c r="D197" s="1" t="str">
        <f t="shared" si="7"/>
        <v>Weekday</v>
      </c>
      <c r="E197" t="s">
        <v>26</v>
      </c>
      <c r="F197" t="s">
        <v>9</v>
      </c>
      <c r="G197">
        <v>1</v>
      </c>
      <c r="H197">
        <v>18000</v>
      </c>
      <c r="I197">
        <v>18000</v>
      </c>
      <c r="J197" t="s">
        <v>13</v>
      </c>
    </row>
    <row r="198" spans="1:10" x14ac:dyDescent="0.25">
      <c r="A198" s="1" t="s">
        <v>57</v>
      </c>
      <c r="B198" s="1" t="str">
        <f t="shared" si="6"/>
        <v>Saturday</v>
      </c>
      <c r="C198" s="1" t="str">
        <f>TEXT(Penjualan_Dimsum[[#This Row],[Tanggal]],"mmmm")</f>
        <v>May</v>
      </c>
      <c r="D198" s="1" t="str">
        <f t="shared" si="7"/>
        <v>Weekend</v>
      </c>
      <c r="E198" t="s">
        <v>12</v>
      </c>
      <c r="F198" t="s">
        <v>9</v>
      </c>
      <c r="G198">
        <v>4</v>
      </c>
      <c r="H198">
        <v>20000</v>
      </c>
      <c r="I198">
        <v>80000</v>
      </c>
      <c r="J198" t="s">
        <v>10</v>
      </c>
    </row>
    <row r="199" spans="1:10" x14ac:dyDescent="0.25">
      <c r="A199" s="1" t="s">
        <v>97</v>
      </c>
      <c r="B199" s="1" t="str">
        <f t="shared" si="6"/>
        <v>Thursday</v>
      </c>
      <c r="C199" s="1" t="str">
        <f>TEXT(Penjualan_Dimsum[[#This Row],[Tanggal]],"mmmm")</f>
        <v>May</v>
      </c>
      <c r="D199" s="1" t="str">
        <f t="shared" si="7"/>
        <v>Weekday</v>
      </c>
      <c r="E199" t="s">
        <v>26</v>
      </c>
      <c r="F199" t="s">
        <v>9</v>
      </c>
      <c r="G199">
        <v>9</v>
      </c>
      <c r="H199">
        <v>20000</v>
      </c>
      <c r="I199">
        <v>180000</v>
      </c>
      <c r="J199" t="s">
        <v>18</v>
      </c>
    </row>
    <row r="200" spans="1:10" x14ac:dyDescent="0.25">
      <c r="A200" s="1" t="s">
        <v>17</v>
      </c>
      <c r="B200" s="1" t="str">
        <f t="shared" si="6"/>
        <v>Wednesday</v>
      </c>
      <c r="C200" s="1" t="str">
        <f>TEXT(Penjualan_Dimsum[[#This Row],[Tanggal]],"mmmm")</f>
        <v>May</v>
      </c>
      <c r="D200" s="1" t="str">
        <f t="shared" si="7"/>
        <v>Weekday</v>
      </c>
      <c r="E200" t="s">
        <v>16</v>
      </c>
      <c r="F200" t="s">
        <v>9</v>
      </c>
      <c r="G200">
        <v>4</v>
      </c>
      <c r="H200">
        <v>20000</v>
      </c>
      <c r="I200">
        <v>80000</v>
      </c>
      <c r="J200" t="s">
        <v>10</v>
      </c>
    </row>
    <row r="201" spans="1:10" x14ac:dyDescent="0.25">
      <c r="A201" s="1" t="s">
        <v>51</v>
      </c>
      <c r="B201" s="1" t="str">
        <f t="shared" si="6"/>
        <v>Monday</v>
      </c>
      <c r="C201" s="1" t="str">
        <f>TEXT(Penjualan_Dimsum[[#This Row],[Tanggal]],"mmmm")</f>
        <v>June</v>
      </c>
      <c r="D201" s="1" t="str">
        <f t="shared" si="7"/>
        <v>Weekday</v>
      </c>
      <c r="E201" t="s">
        <v>22</v>
      </c>
      <c r="F201" t="s">
        <v>9</v>
      </c>
      <c r="G201">
        <v>11</v>
      </c>
      <c r="H201">
        <v>20000</v>
      </c>
      <c r="I201">
        <v>220000</v>
      </c>
      <c r="J201" t="s">
        <v>18</v>
      </c>
    </row>
    <row r="202" spans="1:10" x14ac:dyDescent="0.25">
      <c r="A202" s="1" t="s">
        <v>63</v>
      </c>
      <c r="B202" s="1" t="str">
        <f t="shared" si="6"/>
        <v>Saturday</v>
      </c>
      <c r="C202" s="1" t="str">
        <f>TEXT(Penjualan_Dimsum[[#This Row],[Tanggal]],"mmmm")</f>
        <v>April</v>
      </c>
      <c r="D202" s="1" t="str">
        <f t="shared" si="7"/>
        <v>Weekend</v>
      </c>
      <c r="E202" t="s">
        <v>8</v>
      </c>
      <c r="F202" t="s">
        <v>9</v>
      </c>
      <c r="G202">
        <v>20</v>
      </c>
      <c r="H202">
        <v>15000</v>
      </c>
      <c r="I202">
        <v>300000</v>
      </c>
      <c r="J202" t="s">
        <v>10</v>
      </c>
    </row>
    <row r="203" spans="1:10" x14ac:dyDescent="0.25">
      <c r="A203" s="1" t="s">
        <v>14</v>
      </c>
      <c r="B203" s="1" t="str">
        <f t="shared" si="6"/>
        <v>Monday</v>
      </c>
      <c r="C203" s="1" t="str">
        <f>TEXT(Penjualan_Dimsum[[#This Row],[Tanggal]],"mmmm")</f>
        <v>June</v>
      </c>
      <c r="D203" s="1" t="str">
        <f t="shared" si="7"/>
        <v>Weekday</v>
      </c>
      <c r="E203" t="s">
        <v>12</v>
      </c>
      <c r="F203" t="s">
        <v>9</v>
      </c>
      <c r="G203">
        <v>11</v>
      </c>
      <c r="H203">
        <v>20000</v>
      </c>
      <c r="I203">
        <v>220000</v>
      </c>
      <c r="J203" t="s">
        <v>20</v>
      </c>
    </row>
    <row r="204" spans="1:10" x14ac:dyDescent="0.25">
      <c r="A204" s="1" t="s">
        <v>37</v>
      </c>
      <c r="B204" s="1" t="str">
        <f t="shared" si="6"/>
        <v>Thursday</v>
      </c>
      <c r="C204" s="1" t="str">
        <f>TEXT(Penjualan_Dimsum[[#This Row],[Tanggal]],"mmmm")</f>
        <v>April</v>
      </c>
      <c r="D204" s="1" t="str">
        <f t="shared" si="7"/>
        <v>Weekday</v>
      </c>
      <c r="E204" t="s">
        <v>12</v>
      </c>
      <c r="F204" t="s">
        <v>9</v>
      </c>
      <c r="G204">
        <v>8</v>
      </c>
      <c r="H204">
        <v>18000</v>
      </c>
      <c r="I204">
        <v>144000</v>
      </c>
      <c r="J204" t="s">
        <v>20</v>
      </c>
    </row>
    <row r="205" spans="1:10" x14ac:dyDescent="0.25">
      <c r="A205" s="1" t="s">
        <v>73</v>
      </c>
      <c r="B205" s="1" t="str">
        <f t="shared" si="6"/>
        <v>Tuesday</v>
      </c>
      <c r="C205" s="1" t="str">
        <f>TEXT(Penjualan_Dimsum[[#This Row],[Tanggal]],"mmmm")</f>
        <v>May</v>
      </c>
      <c r="D205" s="1" t="str">
        <f t="shared" si="7"/>
        <v>Weekday</v>
      </c>
      <c r="E205" t="s">
        <v>26</v>
      </c>
      <c r="F205" t="s">
        <v>9</v>
      </c>
      <c r="G205">
        <v>9</v>
      </c>
      <c r="H205">
        <v>15000</v>
      </c>
      <c r="I205">
        <v>135000</v>
      </c>
      <c r="J205" t="s">
        <v>10</v>
      </c>
    </row>
    <row r="206" spans="1:10" x14ac:dyDescent="0.25">
      <c r="A206" s="1" t="s">
        <v>60</v>
      </c>
      <c r="B206" s="1" t="str">
        <f t="shared" si="6"/>
        <v>Saturday</v>
      </c>
      <c r="C206" s="1" t="str">
        <f>TEXT(Penjualan_Dimsum[[#This Row],[Tanggal]],"mmmm")</f>
        <v>April</v>
      </c>
      <c r="D206" s="1" t="str">
        <f t="shared" si="7"/>
        <v>Weekend</v>
      </c>
      <c r="E206" t="s">
        <v>16</v>
      </c>
      <c r="F206" t="s">
        <v>9</v>
      </c>
      <c r="G206">
        <v>20</v>
      </c>
      <c r="H206">
        <v>18000</v>
      </c>
      <c r="I206">
        <v>360000</v>
      </c>
      <c r="J206" t="s">
        <v>18</v>
      </c>
    </row>
    <row r="207" spans="1:10" x14ac:dyDescent="0.25">
      <c r="A207" s="1" t="s">
        <v>83</v>
      </c>
      <c r="B207" s="1" t="str">
        <f t="shared" si="6"/>
        <v>Sunday</v>
      </c>
      <c r="C207" s="1" t="str">
        <f>TEXT(Penjualan_Dimsum[[#This Row],[Tanggal]],"mmmm")</f>
        <v>June</v>
      </c>
      <c r="D207" s="1" t="str">
        <f t="shared" si="7"/>
        <v>Weekend</v>
      </c>
      <c r="E207" t="s">
        <v>8</v>
      </c>
      <c r="F207" t="s">
        <v>9</v>
      </c>
      <c r="G207">
        <v>4</v>
      </c>
      <c r="H207">
        <v>18000</v>
      </c>
      <c r="I207">
        <v>72000</v>
      </c>
      <c r="J207" t="s">
        <v>10</v>
      </c>
    </row>
    <row r="208" spans="1:10" x14ac:dyDescent="0.25">
      <c r="A208" s="1" t="s">
        <v>75</v>
      </c>
      <c r="B208" s="1" t="str">
        <f t="shared" si="6"/>
        <v>Monday</v>
      </c>
      <c r="C208" s="1" t="str">
        <f>TEXT(Penjualan_Dimsum[[#This Row],[Tanggal]],"mmmm")</f>
        <v>May</v>
      </c>
      <c r="D208" s="1" t="str">
        <f t="shared" si="7"/>
        <v>Weekday</v>
      </c>
      <c r="E208" t="s">
        <v>26</v>
      </c>
      <c r="F208" t="s">
        <v>9</v>
      </c>
      <c r="G208">
        <v>11</v>
      </c>
      <c r="H208">
        <v>18000</v>
      </c>
      <c r="I208">
        <v>198000</v>
      </c>
      <c r="J208" t="s">
        <v>18</v>
      </c>
    </row>
    <row r="209" spans="1:10" x14ac:dyDescent="0.25">
      <c r="A209" s="1" t="s">
        <v>57</v>
      </c>
      <c r="B209" s="1" t="str">
        <f t="shared" si="6"/>
        <v>Saturday</v>
      </c>
      <c r="C209" s="1" t="str">
        <f>TEXT(Penjualan_Dimsum[[#This Row],[Tanggal]],"mmmm")</f>
        <v>May</v>
      </c>
      <c r="D209" s="1" t="str">
        <f t="shared" si="7"/>
        <v>Weekend</v>
      </c>
      <c r="E209" t="s">
        <v>8</v>
      </c>
      <c r="F209" t="s">
        <v>9</v>
      </c>
      <c r="G209">
        <v>15</v>
      </c>
      <c r="H209">
        <v>15000</v>
      </c>
      <c r="I209">
        <v>225000</v>
      </c>
      <c r="J209" t="s">
        <v>18</v>
      </c>
    </row>
    <row r="210" spans="1:10" x14ac:dyDescent="0.25">
      <c r="A210" s="1" t="s">
        <v>85</v>
      </c>
      <c r="B210" s="1" t="str">
        <f t="shared" si="6"/>
        <v>Tuesday</v>
      </c>
      <c r="C210" s="1" t="str">
        <f>TEXT(Penjualan_Dimsum[[#This Row],[Tanggal]],"mmmm")</f>
        <v>June</v>
      </c>
      <c r="D210" s="1" t="str">
        <f t="shared" si="7"/>
        <v>Weekday</v>
      </c>
      <c r="E210" t="s">
        <v>12</v>
      </c>
      <c r="F210" t="s">
        <v>9</v>
      </c>
      <c r="G210">
        <v>14</v>
      </c>
      <c r="H210">
        <v>15000</v>
      </c>
      <c r="I210">
        <v>210000</v>
      </c>
      <c r="J210" t="s">
        <v>20</v>
      </c>
    </row>
    <row r="211" spans="1:10" x14ac:dyDescent="0.25">
      <c r="A211" s="1" t="s">
        <v>45</v>
      </c>
      <c r="B211" s="1" t="str">
        <f t="shared" si="6"/>
        <v>Saturday</v>
      </c>
      <c r="C211" s="1" t="str">
        <f>TEXT(Penjualan_Dimsum[[#This Row],[Tanggal]],"mmmm")</f>
        <v>May</v>
      </c>
      <c r="D211" s="1" t="str">
        <f t="shared" si="7"/>
        <v>Weekend</v>
      </c>
      <c r="E211" t="s">
        <v>12</v>
      </c>
      <c r="F211" t="s">
        <v>9</v>
      </c>
      <c r="G211">
        <v>5</v>
      </c>
      <c r="H211">
        <v>18000</v>
      </c>
      <c r="I211">
        <v>90000</v>
      </c>
      <c r="J211" t="s">
        <v>18</v>
      </c>
    </row>
    <row r="212" spans="1:10" x14ac:dyDescent="0.25">
      <c r="A212" s="1" t="s">
        <v>66</v>
      </c>
      <c r="B212" s="1" t="str">
        <f t="shared" si="6"/>
        <v>Tuesday</v>
      </c>
      <c r="C212" s="1" t="str">
        <f>TEXT(Penjualan_Dimsum[[#This Row],[Tanggal]],"mmmm")</f>
        <v>April</v>
      </c>
      <c r="D212" s="1" t="str">
        <f t="shared" si="7"/>
        <v>Weekday</v>
      </c>
      <c r="E212" t="s">
        <v>12</v>
      </c>
      <c r="F212" t="s">
        <v>9</v>
      </c>
      <c r="G212">
        <v>16</v>
      </c>
      <c r="H212">
        <v>15000</v>
      </c>
      <c r="I212">
        <v>240000</v>
      </c>
      <c r="J212" t="s">
        <v>20</v>
      </c>
    </row>
    <row r="213" spans="1:10" x14ac:dyDescent="0.25">
      <c r="A213" s="1" t="s">
        <v>60</v>
      </c>
      <c r="B213" s="1" t="str">
        <f t="shared" si="6"/>
        <v>Saturday</v>
      </c>
      <c r="C213" s="1" t="str">
        <f>TEXT(Penjualan_Dimsum[[#This Row],[Tanggal]],"mmmm")</f>
        <v>April</v>
      </c>
      <c r="D213" s="1" t="str">
        <f t="shared" si="7"/>
        <v>Weekend</v>
      </c>
      <c r="E213" t="s">
        <v>26</v>
      </c>
      <c r="F213" t="s">
        <v>9</v>
      </c>
      <c r="G213">
        <v>6</v>
      </c>
      <c r="H213">
        <v>12000</v>
      </c>
      <c r="I213">
        <v>72000</v>
      </c>
      <c r="J213" t="s">
        <v>10</v>
      </c>
    </row>
    <row r="214" spans="1:10" x14ac:dyDescent="0.25">
      <c r="A214" s="1" t="s">
        <v>17</v>
      </c>
      <c r="B214" s="1" t="str">
        <f t="shared" si="6"/>
        <v>Wednesday</v>
      </c>
      <c r="C214" s="1" t="str">
        <f>TEXT(Penjualan_Dimsum[[#This Row],[Tanggal]],"mmmm")</f>
        <v>May</v>
      </c>
      <c r="D214" s="1" t="str">
        <f t="shared" si="7"/>
        <v>Weekday</v>
      </c>
      <c r="E214" t="s">
        <v>16</v>
      </c>
      <c r="F214" t="s">
        <v>9</v>
      </c>
      <c r="G214">
        <v>16</v>
      </c>
      <c r="H214">
        <v>12000</v>
      </c>
      <c r="I214">
        <v>192000</v>
      </c>
      <c r="J214" t="s">
        <v>20</v>
      </c>
    </row>
    <row r="215" spans="1:10" x14ac:dyDescent="0.25">
      <c r="A215" s="1" t="s">
        <v>55</v>
      </c>
      <c r="B215" s="1" t="str">
        <f t="shared" si="6"/>
        <v>Wednesday</v>
      </c>
      <c r="C215" s="1" t="str">
        <f>TEXT(Penjualan_Dimsum[[#This Row],[Tanggal]],"mmmm")</f>
        <v>April</v>
      </c>
      <c r="D215" s="1" t="str">
        <f t="shared" si="7"/>
        <v>Weekday</v>
      </c>
      <c r="E215" t="s">
        <v>22</v>
      </c>
      <c r="F215" t="s">
        <v>9</v>
      </c>
      <c r="G215">
        <v>11</v>
      </c>
      <c r="H215">
        <v>12000</v>
      </c>
      <c r="I215">
        <v>132000</v>
      </c>
      <c r="J215" t="s">
        <v>13</v>
      </c>
    </row>
    <row r="216" spans="1:10" x14ac:dyDescent="0.25">
      <c r="A216" s="1" t="s">
        <v>75</v>
      </c>
      <c r="B216" s="1" t="str">
        <f t="shared" si="6"/>
        <v>Monday</v>
      </c>
      <c r="C216" s="1" t="str">
        <f>TEXT(Penjualan_Dimsum[[#This Row],[Tanggal]],"mmmm")</f>
        <v>May</v>
      </c>
      <c r="D216" s="1" t="str">
        <f t="shared" si="7"/>
        <v>Weekday</v>
      </c>
      <c r="E216" t="s">
        <v>8</v>
      </c>
      <c r="F216" t="s">
        <v>9</v>
      </c>
      <c r="G216">
        <v>14</v>
      </c>
      <c r="H216">
        <v>20000</v>
      </c>
      <c r="I216">
        <v>280000</v>
      </c>
      <c r="J216" t="s">
        <v>20</v>
      </c>
    </row>
    <row r="217" spans="1:10" x14ac:dyDescent="0.25">
      <c r="A217" s="1" t="s">
        <v>99</v>
      </c>
      <c r="B217" s="1" t="str">
        <f t="shared" si="6"/>
        <v>Saturday</v>
      </c>
      <c r="C217" s="1" t="str">
        <f>TEXT(Penjualan_Dimsum[[#This Row],[Tanggal]],"mmmm")</f>
        <v>May</v>
      </c>
      <c r="D217" s="1" t="str">
        <f t="shared" si="7"/>
        <v>Weekend</v>
      </c>
      <c r="E217" t="s">
        <v>16</v>
      </c>
      <c r="F217" t="s">
        <v>9</v>
      </c>
      <c r="G217">
        <v>11</v>
      </c>
      <c r="H217">
        <v>18000</v>
      </c>
      <c r="I217">
        <v>198000</v>
      </c>
      <c r="J217" t="s">
        <v>10</v>
      </c>
    </row>
    <row r="218" spans="1:10" x14ac:dyDescent="0.25">
      <c r="A218" s="1" t="s">
        <v>53</v>
      </c>
      <c r="B218" s="1" t="str">
        <f t="shared" si="6"/>
        <v>Saturday</v>
      </c>
      <c r="C218" s="1" t="str">
        <f>TEXT(Penjualan_Dimsum[[#This Row],[Tanggal]],"mmmm")</f>
        <v>April</v>
      </c>
      <c r="D218" s="1" t="str">
        <f t="shared" si="7"/>
        <v>Weekend</v>
      </c>
      <c r="E218" t="s">
        <v>26</v>
      </c>
      <c r="F218" t="s">
        <v>9</v>
      </c>
      <c r="G218">
        <v>20</v>
      </c>
      <c r="H218">
        <v>20000</v>
      </c>
      <c r="I218">
        <v>400000</v>
      </c>
      <c r="J218" t="s">
        <v>10</v>
      </c>
    </row>
    <row r="219" spans="1:10" x14ac:dyDescent="0.25">
      <c r="A219" s="1" t="s">
        <v>69</v>
      </c>
      <c r="B219" s="1" t="str">
        <f t="shared" si="6"/>
        <v>Saturday</v>
      </c>
      <c r="C219" s="1" t="str">
        <f>TEXT(Penjualan_Dimsum[[#This Row],[Tanggal]],"mmmm")</f>
        <v>June</v>
      </c>
      <c r="D219" s="1" t="str">
        <f t="shared" si="7"/>
        <v>Weekend</v>
      </c>
      <c r="E219" t="s">
        <v>8</v>
      </c>
      <c r="F219" t="s">
        <v>9</v>
      </c>
      <c r="G219">
        <v>11</v>
      </c>
      <c r="H219">
        <v>12000</v>
      </c>
      <c r="I219">
        <v>132000</v>
      </c>
      <c r="J219" t="s">
        <v>10</v>
      </c>
    </row>
    <row r="220" spans="1:10" x14ac:dyDescent="0.25">
      <c r="A220" s="1" t="s">
        <v>77</v>
      </c>
      <c r="B220" s="1" t="str">
        <f t="shared" si="6"/>
        <v>Monday</v>
      </c>
      <c r="C220" s="1" t="str">
        <f>TEXT(Penjualan_Dimsum[[#This Row],[Tanggal]],"mmmm")</f>
        <v>June</v>
      </c>
      <c r="D220" s="1" t="str">
        <f t="shared" si="7"/>
        <v>Weekday</v>
      </c>
      <c r="E220" t="s">
        <v>22</v>
      </c>
      <c r="F220" t="s">
        <v>9</v>
      </c>
      <c r="G220">
        <v>6</v>
      </c>
      <c r="H220">
        <v>18000</v>
      </c>
      <c r="I220">
        <v>108000</v>
      </c>
      <c r="J220" t="s">
        <v>13</v>
      </c>
    </row>
    <row r="221" spans="1:10" x14ac:dyDescent="0.25">
      <c r="A221" s="1" t="s">
        <v>71</v>
      </c>
      <c r="B221" s="1" t="str">
        <f t="shared" si="6"/>
        <v>Sunday</v>
      </c>
      <c r="C221" s="1" t="str">
        <f>TEXT(Penjualan_Dimsum[[#This Row],[Tanggal]],"mmmm")</f>
        <v>May</v>
      </c>
      <c r="D221" s="1" t="str">
        <f t="shared" si="7"/>
        <v>Weekend</v>
      </c>
      <c r="E221" t="s">
        <v>16</v>
      </c>
      <c r="F221" t="s">
        <v>9</v>
      </c>
      <c r="G221">
        <v>15</v>
      </c>
      <c r="H221">
        <v>15000</v>
      </c>
      <c r="I221">
        <v>225000</v>
      </c>
      <c r="J221" t="s">
        <v>10</v>
      </c>
    </row>
    <row r="222" spans="1:10" x14ac:dyDescent="0.25">
      <c r="A222" s="1" t="s">
        <v>78</v>
      </c>
      <c r="B222" s="1" t="str">
        <f t="shared" si="6"/>
        <v>Friday</v>
      </c>
      <c r="C222" s="1" t="str">
        <f>TEXT(Penjualan_Dimsum[[#This Row],[Tanggal]],"mmmm")</f>
        <v>April</v>
      </c>
      <c r="D222" s="1" t="str">
        <f t="shared" si="7"/>
        <v>Weekday</v>
      </c>
      <c r="E222" t="s">
        <v>8</v>
      </c>
      <c r="F222" t="s">
        <v>9</v>
      </c>
      <c r="G222">
        <v>12</v>
      </c>
      <c r="H222">
        <v>20000</v>
      </c>
      <c r="I222">
        <v>240000</v>
      </c>
      <c r="J222" t="s">
        <v>10</v>
      </c>
    </row>
    <row r="223" spans="1:10" x14ac:dyDescent="0.25">
      <c r="A223" s="1" t="s">
        <v>27</v>
      </c>
      <c r="B223" s="1" t="str">
        <f t="shared" si="6"/>
        <v>Sunday</v>
      </c>
      <c r="C223" s="1" t="str">
        <f>TEXT(Penjualan_Dimsum[[#This Row],[Tanggal]],"mmmm")</f>
        <v>June</v>
      </c>
      <c r="D223" s="1" t="str">
        <f t="shared" si="7"/>
        <v>Weekend</v>
      </c>
      <c r="E223" t="s">
        <v>26</v>
      </c>
      <c r="F223" t="s">
        <v>9</v>
      </c>
      <c r="G223">
        <v>17</v>
      </c>
      <c r="H223">
        <v>15000</v>
      </c>
      <c r="I223">
        <v>255000</v>
      </c>
      <c r="J223" t="s">
        <v>13</v>
      </c>
    </row>
    <row r="224" spans="1:10" x14ac:dyDescent="0.25">
      <c r="A224" s="1" t="s">
        <v>100</v>
      </c>
      <c r="B224" s="1" t="str">
        <f t="shared" si="6"/>
        <v>Saturday</v>
      </c>
      <c r="C224" s="1" t="str">
        <f>TEXT(Penjualan_Dimsum[[#This Row],[Tanggal]],"mmmm")</f>
        <v>June</v>
      </c>
      <c r="D224" s="1" t="str">
        <f t="shared" si="7"/>
        <v>Weekend</v>
      </c>
      <c r="E224" t="s">
        <v>16</v>
      </c>
      <c r="F224" t="s">
        <v>9</v>
      </c>
      <c r="G224">
        <v>8</v>
      </c>
      <c r="H224">
        <v>20000</v>
      </c>
      <c r="I224">
        <v>160000</v>
      </c>
      <c r="J224" t="s">
        <v>18</v>
      </c>
    </row>
    <row r="225" spans="1:10" x14ac:dyDescent="0.25">
      <c r="A225" s="1" t="s">
        <v>49</v>
      </c>
      <c r="B225" s="1" t="str">
        <f t="shared" si="6"/>
        <v>Friday</v>
      </c>
      <c r="C225" s="1" t="str">
        <f>TEXT(Penjualan_Dimsum[[#This Row],[Tanggal]],"mmmm")</f>
        <v>June</v>
      </c>
      <c r="D225" s="1" t="str">
        <f t="shared" si="7"/>
        <v>Weekday</v>
      </c>
      <c r="E225" t="s">
        <v>22</v>
      </c>
      <c r="F225" t="s">
        <v>9</v>
      </c>
      <c r="G225">
        <v>13</v>
      </c>
      <c r="H225">
        <v>18000</v>
      </c>
      <c r="I225">
        <v>234000</v>
      </c>
      <c r="J225" t="s">
        <v>10</v>
      </c>
    </row>
    <row r="226" spans="1:10" x14ac:dyDescent="0.25">
      <c r="A226" s="1" t="s">
        <v>66</v>
      </c>
      <c r="B226" s="1" t="str">
        <f t="shared" si="6"/>
        <v>Tuesday</v>
      </c>
      <c r="C226" s="1" t="str">
        <f>TEXT(Penjualan_Dimsum[[#This Row],[Tanggal]],"mmmm")</f>
        <v>April</v>
      </c>
      <c r="D226" s="1" t="str">
        <f t="shared" si="7"/>
        <v>Weekday</v>
      </c>
      <c r="E226" t="s">
        <v>8</v>
      </c>
      <c r="F226" t="s">
        <v>9</v>
      </c>
      <c r="G226">
        <v>8</v>
      </c>
      <c r="H226">
        <v>15000</v>
      </c>
      <c r="I226">
        <v>120000</v>
      </c>
      <c r="J226" t="s">
        <v>10</v>
      </c>
    </row>
    <row r="227" spans="1:10" x14ac:dyDescent="0.25">
      <c r="A227" s="1" t="s">
        <v>33</v>
      </c>
      <c r="B227" s="1" t="str">
        <f t="shared" si="6"/>
        <v>Monday</v>
      </c>
      <c r="C227" s="1" t="str">
        <f>TEXT(Penjualan_Dimsum[[#This Row],[Tanggal]],"mmmm")</f>
        <v>April</v>
      </c>
      <c r="D227" s="1" t="str">
        <f t="shared" si="7"/>
        <v>Weekday</v>
      </c>
      <c r="E227" t="s">
        <v>8</v>
      </c>
      <c r="F227" t="s">
        <v>9</v>
      </c>
      <c r="G227">
        <v>15</v>
      </c>
      <c r="H227">
        <v>12000</v>
      </c>
      <c r="I227">
        <v>180000</v>
      </c>
      <c r="J227" t="s">
        <v>13</v>
      </c>
    </row>
    <row r="228" spans="1:10" x14ac:dyDescent="0.25">
      <c r="A228" s="1" t="s">
        <v>30</v>
      </c>
      <c r="B228" s="1" t="str">
        <f t="shared" si="6"/>
        <v>Friday</v>
      </c>
      <c r="C228" s="1" t="str">
        <f>TEXT(Penjualan_Dimsum[[#This Row],[Tanggal]],"mmmm")</f>
        <v>April</v>
      </c>
      <c r="D228" s="1" t="str">
        <f t="shared" si="7"/>
        <v>Weekday</v>
      </c>
      <c r="E228" t="s">
        <v>22</v>
      </c>
      <c r="F228" t="s">
        <v>9</v>
      </c>
      <c r="G228">
        <v>1</v>
      </c>
      <c r="H228">
        <v>18000</v>
      </c>
      <c r="I228">
        <v>18000</v>
      </c>
      <c r="J228" t="s">
        <v>20</v>
      </c>
    </row>
    <row r="229" spans="1:10" x14ac:dyDescent="0.25">
      <c r="A229" s="1" t="s">
        <v>79</v>
      </c>
      <c r="B229" s="1" t="str">
        <f t="shared" si="6"/>
        <v>Monday</v>
      </c>
      <c r="C229" s="1" t="str">
        <f>TEXT(Penjualan_Dimsum[[#This Row],[Tanggal]],"mmmm")</f>
        <v>May</v>
      </c>
      <c r="D229" s="1" t="str">
        <f t="shared" si="7"/>
        <v>Weekday</v>
      </c>
      <c r="E229" t="s">
        <v>26</v>
      </c>
      <c r="F229" t="s">
        <v>9</v>
      </c>
      <c r="G229">
        <v>1</v>
      </c>
      <c r="H229">
        <v>15000</v>
      </c>
      <c r="I229">
        <v>15000</v>
      </c>
      <c r="J229" t="s">
        <v>18</v>
      </c>
    </row>
    <row r="230" spans="1:10" x14ac:dyDescent="0.25">
      <c r="A230" s="1" t="s">
        <v>37</v>
      </c>
      <c r="B230" s="1" t="str">
        <f t="shared" si="6"/>
        <v>Thursday</v>
      </c>
      <c r="C230" s="1" t="str">
        <f>TEXT(Penjualan_Dimsum[[#This Row],[Tanggal]],"mmmm")</f>
        <v>April</v>
      </c>
      <c r="D230" s="1" t="str">
        <f t="shared" si="7"/>
        <v>Weekday</v>
      </c>
      <c r="E230" t="s">
        <v>16</v>
      </c>
      <c r="F230" t="s">
        <v>9</v>
      </c>
      <c r="G230">
        <v>2</v>
      </c>
      <c r="H230">
        <v>18000</v>
      </c>
      <c r="I230">
        <v>36000</v>
      </c>
      <c r="J230" t="s">
        <v>18</v>
      </c>
    </row>
    <row r="231" spans="1:10" x14ac:dyDescent="0.25">
      <c r="A231" s="1" t="s">
        <v>24</v>
      </c>
      <c r="B231" s="1" t="str">
        <f t="shared" si="6"/>
        <v>Wednesday</v>
      </c>
      <c r="C231" s="1" t="str">
        <f>TEXT(Penjualan_Dimsum[[#This Row],[Tanggal]],"mmmm")</f>
        <v>June</v>
      </c>
      <c r="D231" s="1" t="str">
        <f t="shared" si="7"/>
        <v>Weekday</v>
      </c>
      <c r="E231" t="s">
        <v>16</v>
      </c>
      <c r="F231" t="s">
        <v>9</v>
      </c>
      <c r="G231">
        <v>12</v>
      </c>
      <c r="H231">
        <v>12000</v>
      </c>
      <c r="I231">
        <v>144000</v>
      </c>
      <c r="J231" t="s">
        <v>10</v>
      </c>
    </row>
    <row r="232" spans="1:10" x14ac:dyDescent="0.25">
      <c r="A232" s="1" t="s">
        <v>99</v>
      </c>
      <c r="B232" s="1" t="str">
        <f t="shared" si="6"/>
        <v>Saturday</v>
      </c>
      <c r="C232" s="1" t="str">
        <f>TEXT(Penjualan_Dimsum[[#This Row],[Tanggal]],"mmmm")</f>
        <v>May</v>
      </c>
      <c r="D232" s="1" t="str">
        <f t="shared" si="7"/>
        <v>Weekend</v>
      </c>
      <c r="E232" t="s">
        <v>8</v>
      </c>
      <c r="F232" t="s">
        <v>9</v>
      </c>
      <c r="G232">
        <v>15</v>
      </c>
      <c r="H232">
        <v>12000</v>
      </c>
      <c r="I232">
        <v>180000</v>
      </c>
      <c r="J232" t="s">
        <v>18</v>
      </c>
    </row>
    <row r="233" spans="1:10" x14ac:dyDescent="0.25">
      <c r="A233" s="1" t="s">
        <v>46</v>
      </c>
      <c r="B233" s="1" t="str">
        <f t="shared" si="6"/>
        <v>Thursday</v>
      </c>
      <c r="C233" s="1" t="str">
        <f>TEXT(Penjualan_Dimsum[[#This Row],[Tanggal]],"mmmm")</f>
        <v>June</v>
      </c>
      <c r="D233" s="1" t="str">
        <f t="shared" si="7"/>
        <v>Weekday</v>
      </c>
      <c r="E233" t="s">
        <v>8</v>
      </c>
      <c r="F233" t="s">
        <v>9</v>
      </c>
      <c r="G233">
        <v>6</v>
      </c>
      <c r="H233">
        <v>15000</v>
      </c>
      <c r="I233">
        <v>90000</v>
      </c>
      <c r="J233" t="s">
        <v>10</v>
      </c>
    </row>
    <row r="234" spans="1:10" x14ac:dyDescent="0.25">
      <c r="A234" s="1" t="s">
        <v>84</v>
      </c>
      <c r="B234" s="1" t="str">
        <f t="shared" si="6"/>
        <v>Thursday</v>
      </c>
      <c r="C234" s="1" t="str">
        <f>TEXT(Penjualan_Dimsum[[#This Row],[Tanggal]],"mmmm")</f>
        <v>May</v>
      </c>
      <c r="D234" s="1" t="str">
        <f t="shared" si="7"/>
        <v>Weekday</v>
      </c>
      <c r="E234" t="s">
        <v>16</v>
      </c>
      <c r="F234" t="s">
        <v>9</v>
      </c>
      <c r="G234">
        <v>18</v>
      </c>
      <c r="H234">
        <v>18000</v>
      </c>
      <c r="I234">
        <v>324000</v>
      </c>
      <c r="J234" t="s">
        <v>20</v>
      </c>
    </row>
    <row r="235" spans="1:10" x14ac:dyDescent="0.25">
      <c r="A235" s="1" t="s">
        <v>101</v>
      </c>
      <c r="B235" s="1" t="str">
        <f t="shared" si="6"/>
        <v>Wednesday</v>
      </c>
      <c r="C235" s="1" t="str">
        <f>TEXT(Penjualan_Dimsum[[#This Row],[Tanggal]],"mmmm")</f>
        <v>April</v>
      </c>
      <c r="D235" s="1" t="str">
        <f t="shared" si="7"/>
        <v>Weekday</v>
      </c>
      <c r="E235" t="s">
        <v>12</v>
      </c>
      <c r="F235" t="s">
        <v>9</v>
      </c>
      <c r="G235">
        <v>4</v>
      </c>
      <c r="H235">
        <v>18000</v>
      </c>
      <c r="I235">
        <v>72000</v>
      </c>
      <c r="J235" t="s">
        <v>10</v>
      </c>
    </row>
    <row r="236" spans="1:10" x14ac:dyDescent="0.25">
      <c r="A236" s="1" t="s">
        <v>77</v>
      </c>
      <c r="B236" s="1" t="str">
        <f t="shared" si="6"/>
        <v>Monday</v>
      </c>
      <c r="C236" s="1" t="str">
        <f>TEXT(Penjualan_Dimsum[[#This Row],[Tanggal]],"mmmm")</f>
        <v>June</v>
      </c>
      <c r="D236" s="1" t="str">
        <f t="shared" si="7"/>
        <v>Weekday</v>
      </c>
      <c r="E236" t="s">
        <v>22</v>
      </c>
      <c r="F236" t="s">
        <v>9</v>
      </c>
      <c r="G236">
        <v>6</v>
      </c>
      <c r="H236">
        <v>18000</v>
      </c>
      <c r="I236">
        <v>108000</v>
      </c>
      <c r="J236" t="s">
        <v>13</v>
      </c>
    </row>
    <row r="237" spans="1:10" x14ac:dyDescent="0.25">
      <c r="A237" s="1" t="s">
        <v>102</v>
      </c>
      <c r="B237" s="1" t="str">
        <f t="shared" si="6"/>
        <v>Thursday</v>
      </c>
      <c r="C237" s="1" t="str">
        <f>TEXT(Penjualan_Dimsum[[#This Row],[Tanggal]],"mmmm")</f>
        <v>April</v>
      </c>
      <c r="D237" s="1" t="str">
        <f t="shared" si="7"/>
        <v>Weekday</v>
      </c>
      <c r="E237" t="s">
        <v>26</v>
      </c>
      <c r="F237" t="s">
        <v>9</v>
      </c>
      <c r="G237">
        <v>1</v>
      </c>
      <c r="H237">
        <v>15000</v>
      </c>
      <c r="I237">
        <v>15000</v>
      </c>
      <c r="J237" t="s">
        <v>13</v>
      </c>
    </row>
    <row r="238" spans="1:10" x14ac:dyDescent="0.25">
      <c r="A238" s="1" t="s">
        <v>69</v>
      </c>
      <c r="B238" s="1" t="str">
        <f t="shared" si="6"/>
        <v>Saturday</v>
      </c>
      <c r="C238" s="1" t="str">
        <f>TEXT(Penjualan_Dimsum[[#This Row],[Tanggal]],"mmmm")</f>
        <v>June</v>
      </c>
      <c r="D238" s="1" t="str">
        <f t="shared" si="7"/>
        <v>Weekend</v>
      </c>
      <c r="E238" t="s">
        <v>8</v>
      </c>
      <c r="F238" t="s">
        <v>9</v>
      </c>
      <c r="G238">
        <v>6</v>
      </c>
      <c r="H238">
        <v>20000</v>
      </c>
      <c r="I238">
        <v>120000</v>
      </c>
      <c r="J238" t="s">
        <v>20</v>
      </c>
    </row>
    <row r="239" spans="1:10" x14ac:dyDescent="0.25">
      <c r="A239" s="1" t="s">
        <v>17</v>
      </c>
      <c r="B239" s="1" t="str">
        <f t="shared" si="6"/>
        <v>Wednesday</v>
      </c>
      <c r="C239" s="1" t="str">
        <f>TEXT(Penjualan_Dimsum[[#This Row],[Tanggal]],"mmmm")</f>
        <v>May</v>
      </c>
      <c r="D239" s="1" t="str">
        <f t="shared" si="7"/>
        <v>Weekday</v>
      </c>
      <c r="E239" t="s">
        <v>26</v>
      </c>
      <c r="F239" t="s">
        <v>9</v>
      </c>
      <c r="G239">
        <v>17</v>
      </c>
      <c r="H239">
        <v>18000</v>
      </c>
      <c r="I239">
        <v>306000</v>
      </c>
      <c r="J239" t="s">
        <v>10</v>
      </c>
    </row>
    <row r="240" spans="1:10" x14ac:dyDescent="0.25">
      <c r="A240" s="1" t="s">
        <v>52</v>
      </c>
      <c r="B240" s="1" t="str">
        <f t="shared" si="6"/>
        <v>Wednesday</v>
      </c>
      <c r="C240" s="1" t="str">
        <f>TEXT(Penjualan_Dimsum[[#This Row],[Tanggal]],"mmmm")</f>
        <v>June</v>
      </c>
      <c r="D240" s="1" t="str">
        <f t="shared" si="7"/>
        <v>Weekday</v>
      </c>
      <c r="E240" t="s">
        <v>26</v>
      </c>
      <c r="F240" t="s">
        <v>9</v>
      </c>
      <c r="G240">
        <v>11</v>
      </c>
      <c r="H240">
        <v>12000</v>
      </c>
      <c r="I240">
        <v>132000</v>
      </c>
      <c r="J240" t="s">
        <v>20</v>
      </c>
    </row>
    <row r="241" spans="1:10" x14ac:dyDescent="0.25">
      <c r="A241" s="1" t="s">
        <v>48</v>
      </c>
      <c r="B241" s="1" t="str">
        <f t="shared" si="6"/>
        <v>Tuesday</v>
      </c>
      <c r="C241" s="1" t="str">
        <f>TEXT(Penjualan_Dimsum[[#This Row],[Tanggal]],"mmmm")</f>
        <v>April</v>
      </c>
      <c r="D241" s="1" t="str">
        <f t="shared" si="7"/>
        <v>Weekday</v>
      </c>
      <c r="E241" t="s">
        <v>16</v>
      </c>
      <c r="F241" t="s">
        <v>9</v>
      </c>
      <c r="G241">
        <v>19</v>
      </c>
      <c r="H241">
        <v>20000</v>
      </c>
      <c r="I241">
        <v>380000</v>
      </c>
      <c r="J241" t="s">
        <v>20</v>
      </c>
    </row>
    <row r="242" spans="1:10" x14ac:dyDescent="0.25">
      <c r="A242" s="1" t="s">
        <v>34</v>
      </c>
      <c r="B242" s="1" t="str">
        <f t="shared" si="6"/>
        <v>Wednesday</v>
      </c>
      <c r="C242" s="1" t="str">
        <f>TEXT(Penjualan_Dimsum[[#This Row],[Tanggal]],"mmmm")</f>
        <v>June</v>
      </c>
      <c r="D242" s="1" t="str">
        <f t="shared" si="7"/>
        <v>Weekday</v>
      </c>
      <c r="E242" t="s">
        <v>12</v>
      </c>
      <c r="F242" t="s">
        <v>9</v>
      </c>
      <c r="G242">
        <v>1</v>
      </c>
      <c r="H242">
        <v>20000</v>
      </c>
      <c r="I242">
        <v>20000</v>
      </c>
      <c r="J242" t="s">
        <v>18</v>
      </c>
    </row>
    <row r="243" spans="1:10" x14ac:dyDescent="0.25">
      <c r="A243" s="1" t="s">
        <v>103</v>
      </c>
      <c r="B243" s="1" t="str">
        <f t="shared" si="6"/>
        <v>Monday</v>
      </c>
      <c r="C243" s="1" t="str">
        <f>TEXT(Penjualan_Dimsum[[#This Row],[Tanggal]],"mmmm")</f>
        <v>June</v>
      </c>
      <c r="D243" s="1" t="str">
        <f t="shared" si="7"/>
        <v>Weekday</v>
      </c>
      <c r="E243" t="s">
        <v>16</v>
      </c>
      <c r="F243" t="s">
        <v>9</v>
      </c>
      <c r="G243">
        <v>20</v>
      </c>
      <c r="H243">
        <v>18000</v>
      </c>
      <c r="I243">
        <v>360000</v>
      </c>
      <c r="J243" t="s">
        <v>18</v>
      </c>
    </row>
    <row r="244" spans="1:10" x14ac:dyDescent="0.25">
      <c r="A244" s="1" t="s">
        <v>90</v>
      </c>
      <c r="B244" s="1" t="str">
        <f t="shared" si="6"/>
        <v>Tuesday</v>
      </c>
      <c r="C244" s="1" t="str">
        <f>TEXT(Penjualan_Dimsum[[#This Row],[Tanggal]],"mmmm")</f>
        <v>April</v>
      </c>
      <c r="D244" s="1" t="str">
        <f t="shared" si="7"/>
        <v>Weekday</v>
      </c>
      <c r="E244" t="s">
        <v>16</v>
      </c>
      <c r="F244" t="s">
        <v>9</v>
      </c>
      <c r="G244">
        <v>13</v>
      </c>
      <c r="H244">
        <v>20000</v>
      </c>
      <c r="I244">
        <v>260000</v>
      </c>
      <c r="J244" t="s">
        <v>18</v>
      </c>
    </row>
    <row r="245" spans="1:10" x14ac:dyDescent="0.25">
      <c r="A245" s="1" t="s">
        <v>81</v>
      </c>
      <c r="B245" s="1" t="str">
        <f t="shared" si="6"/>
        <v>Thursday</v>
      </c>
      <c r="C245" s="1" t="str">
        <f>TEXT(Penjualan_Dimsum[[#This Row],[Tanggal]],"mmmm")</f>
        <v>June</v>
      </c>
      <c r="D245" s="1" t="str">
        <f t="shared" si="7"/>
        <v>Weekday</v>
      </c>
      <c r="E245" t="s">
        <v>22</v>
      </c>
      <c r="F245" t="s">
        <v>9</v>
      </c>
      <c r="G245">
        <v>11</v>
      </c>
      <c r="H245">
        <v>20000</v>
      </c>
      <c r="I245">
        <v>220000</v>
      </c>
      <c r="J245" t="s">
        <v>13</v>
      </c>
    </row>
    <row r="246" spans="1:10" x14ac:dyDescent="0.25">
      <c r="A246" s="1" t="s">
        <v>71</v>
      </c>
      <c r="B246" s="1" t="str">
        <f t="shared" si="6"/>
        <v>Sunday</v>
      </c>
      <c r="C246" s="1" t="str">
        <f>TEXT(Penjualan_Dimsum[[#This Row],[Tanggal]],"mmmm")</f>
        <v>May</v>
      </c>
      <c r="D246" s="1" t="str">
        <f t="shared" si="7"/>
        <v>Weekend</v>
      </c>
      <c r="E246" t="s">
        <v>12</v>
      </c>
      <c r="F246" t="s">
        <v>9</v>
      </c>
      <c r="G246">
        <v>12</v>
      </c>
      <c r="H246">
        <v>15000</v>
      </c>
      <c r="I246">
        <v>180000</v>
      </c>
      <c r="J246" t="s">
        <v>18</v>
      </c>
    </row>
    <row r="247" spans="1:10" x14ac:dyDescent="0.25">
      <c r="A247" s="1" t="s">
        <v>104</v>
      </c>
      <c r="B247" s="1" t="str">
        <f t="shared" si="6"/>
        <v>Wednesday</v>
      </c>
      <c r="C247" s="1" t="str">
        <f>TEXT(Penjualan_Dimsum[[#This Row],[Tanggal]],"mmmm")</f>
        <v>April</v>
      </c>
      <c r="D247" s="1" t="str">
        <f t="shared" si="7"/>
        <v>Weekday</v>
      </c>
      <c r="E247" t="s">
        <v>26</v>
      </c>
      <c r="F247" t="s">
        <v>9</v>
      </c>
      <c r="G247">
        <v>6</v>
      </c>
      <c r="H247">
        <v>18000</v>
      </c>
      <c r="I247">
        <v>108000</v>
      </c>
      <c r="J247" t="s">
        <v>13</v>
      </c>
    </row>
    <row r="248" spans="1:10" x14ac:dyDescent="0.25">
      <c r="A248" s="1" t="s">
        <v>91</v>
      </c>
      <c r="B248" s="1" t="str">
        <f t="shared" si="6"/>
        <v>Wednesday</v>
      </c>
      <c r="C248" s="1" t="str">
        <f>TEXT(Penjualan_Dimsum[[#This Row],[Tanggal]],"mmmm")</f>
        <v>April</v>
      </c>
      <c r="D248" s="1" t="str">
        <f t="shared" si="7"/>
        <v>Weekday</v>
      </c>
      <c r="E248" t="s">
        <v>16</v>
      </c>
      <c r="F248" t="s">
        <v>9</v>
      </c>
      <c r="G248">
        <v>9</v>
      </c>
      <c r="H248">
        <v>20000</v>
      </c>
      <c r="I248">
        <v>180000</v>
      </c>
      <c r="J248" t="s">
        <v>18</v>
      </c>
    </row>
    <row r="249" spans="1:10" x14ac:dyDescent="0.25">
      <c r="A249" s="1" t="s">
        <v>19</v>
      </c>
      <c r="B249" s="1" t="str">
        <f t="shared" si="6"/>
        <v>Tuesday</v>
      </c>
      <c r="C249" s="1" t="str">
        <f>TEXT(Penjualan_Dimsum[[#This Row],[Tanggal]],"mmmm")</f>
        <v>June</v>
      </c>
      <c r="D249" s="1" t="str">
        <f t="shared" si="7"/>
        <v>Weekday</v>
      </c>
      <c r="E249" t="s">
        <v>22</v>
      </c>
      <c r="F249" t="s">
        <v>9</v>
      </c>
      <c r="G249">
        <v>5</v>
      </c>
      <c r="H249">
        <v>12000</v>
      </c>
      <c r="I249">
        <v>60000</v>
      </c>
      <c r="J249" t="s">
        <v>13</v>
      </c>
    </row>
    <row r="250" spans="1:10" x14ac:dyDescent="0.25">
      <c r="A250" s="1" t="s">
        <v>27</v>
      </c>
      <c r="B250" s="1" t="str">
        <f t="shared" si="6"/>
        <v>Sunday</v>
      </c>
      <c r="C250" s="1" t="str">
        <f>TEXT(Penjualan_Dimsum[[#This Row],[Tanggal]],"mmmm")</f>
        <v>June</v>
      </c>
      <c r="D250" s="1" t="str">
        <f t="shared" si="7"/>
        <v>Weekend</v>
      </c>
      <c r="E250" t="s">
        <v>8</v>
      </c>
      <c r="F250" t="s">
        <v>9</v>
      </c>
      <c r="G250">
        <v>5</v>
      </c>
      <c r="H250">
        <v>12000</v>
      </c>
      <c r="I250">
        <v>60000</v>
      </c>
      <c r="J250" t="s">
        <v>20</v>
      </c>
    </row>
    <row r="251" spans="1:10" x14ac:dyDescent="0.25">
      <c r="A251" s="1" t="s">
        <v>72</v>
      </c>
      <c r="B251" s="1" t="str">
        <f t="shared" si="6"/>
        <v>Sunday</v>
      </c>
      <c r="C251" s="1" t="str">
        <f>TEXT(Penjualan_Dimsum[[#This Row],[Tanggal]],"mmmm")</f>
        <v>May</v>
      </c>
      <c r="D251" s="1" t="str">
        <f t="shared" si="7"/>
        <v>Weekend</v>
      </c>
      <c r="E251" t="s">
        <v>12</v>
      </c>
      <c r="F251" t="s">
        <v>9</v>
      </c>
      <c r="G251">
        <v>6</v>
      </c>
      <c r="H251">
        <v>20000</v>
      </c>
      <c r="I251">
        <v>120000</v>
      </c>
      <c r="J251" t="s">
        <v>10</v>
      </c>
    </row>
    <row r="252" spans="1:10" x14ac:dyDescent="0.25">
      <c r="A252" s="1" t="s">
        <v>19</v>
      </c>
      <c r="B252" s="1" t="str">
        <f t="shared" si="6"/>
        <v>Tuesday</v>
      </c>
      <c r="C252" s="1" t="str">
        <f>TEXT(Penjualan_Dimsum[[#This Row],[Tanggal]],"mmmm")</f>
        <v>June</v>
      </c>
      <c r="D252" s="1" t="str">
        <f t="shared" si="7"/>
        <v>Weekday</v>
      </c>
      <c r="E252" t="s">
        <v>26</v>
      </c>
      <c r="F252" t="s">
        <v>9</v>
      </c>
      <c r="G252">
        <v>18</v>
      </c>
      <c r="H252">
        <v>20000</v>
      </c>
      <c r="I252">
        <v>360000</v>
      </c>
      <c r="J252" t="s">
        <v>20</v>
      </c>
    </row>
    <row r="253" spans="1:10" x14ac:dyDescent="0.25">
      <c r="A253" s="1" t="s">
        <v>17</v>
      </c>
      <c r="B253" s="1" t="str">
        <f t="shared" si="6"/>
        <v>Wednesday</v>
      </c>
      <c r="C253" s="1" t="str">
        <f>TEXT(Penjualan_Dimsum[[#This Row],[Tanggal]],"mmmm")</f>
        <v>May</v>
      </c>
      <c r="D253" s="1" t="str">
        <f t="shared" si="7"/>
        <v>Weekday</v>
      </c>
      <c r="E253" t="s">
        <v>26</v>
      </c>
      <c r="F253" t="s">
        <v>9</v>
      </c>
      <c r="G253">
        <v>20</v>
      </c>
      <c r="H253">
        <v>12000</v>
      </c>
      <c r="I253">
        <v>240000</v>
      </c>
      <c r="J253" t="s">
        <v>13</v>
      </c>
    </row>
    <row r="254" spans="1:10" x14ac:dyDescent="0.25">
      <c r="A254" s="1" t="s">
        <v>60</v>
      </c>
      <c r="B254" s="1" t="str">
        <f t="shared" si="6"/>
        <v>Saturday</v>
      </c>
      <c r="C254" s="1" t="str">
        <f>TEXT(Penjualan_Dimsum[[#This Row],[Tanggal]],"mmmm")</f>
        <v>April</v>
      </c>
      <c r="D254" s="1" t="str">
        <f t="shared" si="7"/>
        <v>Weekend</v>
      </c>
      <c r="E254" t="s">
        <v>22</v>
      </c>
      <c r="F254" t="s">
        <v>9</v>
      </c>
      <c r="G254">
        <v>7</v>
      </c>
      <c r="H254">
        <v>20000</v>
      </c>
      <c r="I254">
        <v>140000</v>
      </c>
      <c r="J254" t="s">
        <v>13</v>
      </c>
    </row>
    <row r="255" spans="1:10" x14ac:dyDescent="0.25">
      <c r="A255" s="1" t="s">
        <v>68</v>
      </c>
      <c r="B255" s="1" t="str">
        <f t="shared" si="6"/>
        <v>Monday</v>
      </c>
      <c r="C255" s="1" t="str">
        <f>TEXT(Penjualan_Dimsum[[#This Row],[Tanggal]],"mmmm")</f>
        <v>June</v>
      </c>
      <c r="D255" s="1" t="str">
        <f t="shared" si="7"/>
        <v>Weekday</v>
      </c>
      <c r="E255" t="s">
        <v>12</v>
      </c>
      <c r="F255" t="s">
        <v>9</v>
      </c>
      <c r="G255">
        <v>12</v>
      </c>
      <c r="H255">
        <v>12000</v>
      </c>
      <c r="I255">
        <v>144000</v>
      </c>
      <c r="J255" t="s">
        <v>10</v>
      </c>
    </row>
    <row r="256" spans="1:10" x14ac:dyDescent="0.25">
      <c r="A256" s="1" t="s">
        <v>78</v>
      </c>
      <c r="B256" s="1" t="str">
        <f t="shared" si="6"/>
        <v>Friday</v>
      </c>
      <c r="C256" s="1" t="str">
        <f>TEXT(Penjualan_Dimsum[[#This Row],[Tanggal]],"mmmm")</f>
        <v>April</v>
      </c>
      <c r="D256" s="1" t="str">
        <f t="shared" si="7"/>
        <v>Weekday</v>
      </c>
      <c r="E256" t="s">
        <v>8</v>
      </c>
      <c r="F256" t="s">
        <v>9</v>
      </c>
      <c r="G256">
        <v>13</v>
      </c>
      <c r="H256">
        <v>20000</v>
      </c>
      <c r="I256">
        <v>260000</v>
      </c>
      <c r="J256" t="s">
        <v>18</v>
      </c>
    </row>
    <row r="257" spans="1:10" x14ac:dyDescent="0.25">
      <c r="A257" s="1" t="s">
        <v>73</v>
      </c>
      <c r="B257" s="1" t="str">
        <f t="shared" si="6"/>
        <v>Tuesday</v>
      </c>
      <c r="C257" s="1" t="str">
        <f>TEXT(Penjualan_Dimsum[[#This Row],[Tanggal]],"mmmm")</f>
        <v>May</v>
      </c>
      <c r="D257" s="1" t="str">
        <f t="shared" si="7"/>
        <v>Weekday</v>
      </c>
      <c r="E257" t="s">
        <v>22</v>
      </c>
      <c r="F257" t="s">
        <v>9</v>
      </c>
      <c r="G257">
        <v>13</v>
      </c>
      <c r="H257">
        <v>18000</v>
      </c>
      <c r="I257">
        <v>234000</v>
      </c>
      <c r="J257" t="s">
        <v>10</v>
      </c>
    </row>
    <row r="258" spans="1:10" x14ac:dyDescent="0.25">
      <c r="A258" s="1" t="s">
        <v>96</v>
      </c>
      <c r="B258" s="1" t="str">
        <f t="shared" si="6"/>
        <v>Wednesday</v>
      </c>
      <c r="C258" s="1" t="str">
        <f>TEXT(Penjualan_Dimsum[[#This Row],[Tanggal]],"mmmm")</f>
        <v>May</v>
      </c>
      <c r="D258" s="1" t="str">
        <f t="shared" si="7"/>
        <v>Weekday</v>
      </c>
      <c r="E258" t="s">
        <v>8</v>
      </c>
      <c r="F258" t="s">
        <v>9</v>
      </c>
      <c r="G258">
        <v>12</v>
      </c>
      <c r="H258">
        <v>15000</v>
      </c>
      <c r="I258">
        <v>180000</v>
      </c>
      <c r="J258" t="s">
        <v>13</v>
      </c>
    </row>
    <row r="259" spans="1:10" x14ac:dyDescent="0.25">
      <c r="A259" s="1" t="s">
        <v>76</v>
      </c>
      <c r="B259" s="1" t="str">
        <f t="shared" ref="B259:B322" si="8">TEXT(A259,"DDDD")</f>
        <v>Tuesday</v>
      </c>
      <c r="C259" s="1" t="str">
        <f>TEXT(Penjualan_Dimsum[[#This Row],[Tanggal]],"mmmm")</f>
        <v>April</v>
      </c>
      <c r="D259" s="1" t="str">
        <f t="shared" ref="D259:D322" si="9">IF(OR(B259="Saturday",B259="Sunday"),"Weekend","Weekday")</f>
        <v>Weekday</v>
      </c>
      <c r="E259" t="s">
        <v>26</v>
      </c>
      <c r="F259" t="s">
        <v>9</v>
      </c>
      <c r="G259">
        <v>9</v>
      </c>
      <c r="H259">
        <v>20000</v>
      </c>
      <c r="I259">
        <v>180000</v>
      </c>
      <c r="J259" t="s">
        <v>20</v>
      </c>
    </row>
    <row r="260" spans="1:10" x14ac:dyDescent="0.25">
      <c r="A260" s="1" t="s">
        <v>46</v>
      </c>
      <c r="B260" s="1" t="str">
        <f t="shared" si="8"/>
        <v>Thursday</v>
      </c>
      <c r="C260" s="1" t="str">
        <f>TEXT(Penjualan_Dimsum[[#This Row],[Tanggal]],"mmmm")</f>
        <v>June</v>
      </c>
      <c r="D260" s="1" t="str">
        <f t="shared" si="9"/>
        <v>Weekday</v>
      </c>
      <c r="E260" t="s">
        <v>16</v>
      </c>
      <c r="F260" t="s">
        <v>9</v>
      </c>
      <c r="G260">
        <v>4</v>
      </c>
      <c r="H260">
        <v>15000</v>
      </c>
      <c r="I260">
        <v>60000</v>
      </c>
      <c r="J260" t="s">
        <v>18</v>
      </c>
    </row>
    <row r="261" spans="1:10" x14ac:dyDescent="0.25">
      <c r="A261" s="1" t="s">
        <v>17</v>
      </c>
      <c r="B261" s="1" t="str">
        <f t="shared" si="8"/>
        <v>Wednesday</v>
      </c>
      <c r="C261" s="1" t="str">
        <f>TEXT(Penjualan_Dimsum[[#This Row],[Tanggal]],"mmmm")</f>
        <v>May</v>
      </c>
      <c r="D261" s="1" t="str">
        <f t="shared" si="9"/>
        <v>Weekday</v>
      </c>
      <c r="E261" t="s">
        <v>22</v>
      </c>
      <c r="F261" t="s">
        <v>9</v>
      </c>
      <c r="G261">
        <v>5</v>
      </c>
      <c r="H261">
        <v>20000</v>
      </c>
      <c r="I261">
        <v>100000</v>
      </c>
      <c r="J261" t="s">
        <v>10</v>
      </c>
    </row>
    <row r="262" spans="1:10" x14ac:dyDescent="0.25">
      <c r="A262" s="1" t="s">
        <v>91</v>
      </c>
      <c r="B262" s="1" t="str">
        <f t="shared" si="8"/>
        <v>Wednesday</v>
      </c>
      <c r="C262" s="1" t="str">
        <f>TEXT(Penjualan_Dimsum[[#This Row],[Tanggal]],"mmmm")</f>
        <v>April</v>
      </c>
      <c r="D262" s="1" t="str">
        <f t="shared" si="9"/>
        <v>Weekday</v>
      </c>
      <c r="E262" t="s">
        <v>8</v>
      </c>
      <c r="F262" t="s">
        <v>9</v>
      </c>
      <c r="G262">
        <v>6</v>
      </c>
      <c r="H262">
        <v>12000</v>
      </c>
      <c r="I262">
        <v>72000</v>
      </c>
      <c r="J262" t="s">
        <v>13</v>
      </c>
    </row>
    <row r="263" spans="1:10" x14ac:dyDescent="0.25">
      <c r="A263" s="1" t="s">
        <v>63</v>
      </c>
      <c r="B263" s="1" t="str">
        <f t="shared" si="8"/>
        <v>Saturday</v>
      </c>
      <c r="C263" s="1" t="str">
        <f>TEXT(Penjualan_Dimsum[[#This Row],[Tanggal]],"mmmm")</f>
        <v>April</v>
      </c>
      <c r="D263" s="1" t="str">
        <f t="shared" si="9"/>
        <v>Weekend</v>
      </c>
      <c r="E263" t="s">
        <v>12</v>
      </c>
      <c r="F263" t="s">
        <v>9</v>
      </c>
      <c r="G263">
        <v>12</v>
      </c>
      <c r="H263">
        <v>18000</v>
      </c>
      <c r="I263">
        <v>216000</v>
      </c>
      <c r="J263" t="s">
        <v>10</v>
      </c>
    </row>
    <row r="264" spans="1:10" x14ac:dyDescent="0.25">
      <c r="A264" s="1" t="s">
        <v>56</v>
      </c>
      <c r="B264" s="1" t="str">
        <f t="shared" si="8"/>
        <v>Friday</v>
      </c>
      <c r="C264" s="1" t="str">
        <f>TEXT(Penjualan_Dimsum[[#This Row],[Tanggal]],"mmmm")</f>
        <v>May</v>
      </c>
      <c r="D264" s="1" t="str">
        <f t="shared" si="9"/>
        <v>Weekday</v>
      </c>
      <c r="E264" t="s">
        <v>16</v>
      </c>
      <c r="F264" t="s">
        <v>9</v>
      </c>
      <c r="G264">
        <v>1</v>
      </c>
      <c r="H264">
        <v>18000</v>
      </c>
      <c r="I264">
        <v>18000</v>
      </c>
      <c r="J264" t="s">
        <v>20</v>
      </c>
    </row>
    <row r="265" spans="1:10" x14ac:dyDescent="0.25">
      <c r="A265" s="1" t="s">
        <v>105</v>
      </c>
      <c r="B265" s="1" t="str">
        <f t="shared" si="8"/>
        <v>Tuesday</v>
      </c>
      <c r="C265" s="1" t="str">
        <f>TEXT(Penjualan_Dimsum[[#This Row],[Tanggal]],"mmmm")</f>
        <v>May</v>
      </c>
      <c r="D265" s="1" t="str">
        <f t="shared" si="9"/>
        <v>Weekday</v>
      </c>
      <c r="E265" t="s">
        <v>12</v>
      </c>
      <c r="F265" t="s">
        <v>9</v>
      </c>
      <c r="G265">
        <v>13</v>
      </c>
      <c r="H265">
        <v>15000</v>
      </c>
      <c r="I265">
        <v>195000</v>
      </c>
      <c r="J265" t="s">
        <v>13</v>
      </c>
    </row>
    <row r="266" spans="1:10" x14ac:dyDescent="0.25">
      <c r="A266" s="1" t="s">
        <v>81</v>
      </c>
      <c r="B266" s="1" t="str">
        <f t="shared" si="8"/>
        <v>Thursday</v>
      </c>
      <c r="C266" s="1" t="str">
        <f>TEXT(Penjualan_Dimsum[[#This Row],[Tanggal]],"mmmm")</f>
        <v>June</v>
      </c>
      <c r="D266" s="1" t="str">
        <f t="shared" si="9"/>
        <v>Weekday</v>
      </c>
      <c r="E266" t="s">
        <v>12</v>
      </c>
      <c r="F266" t="s">
        <v>9</v>
      </c>
      <c r="G266">
        <v>2</v>
      </c>
      <c r="H266">
        <v>18000</v>
      </c>
      <c r="I266">
        <v>36000</v>
      </c>
      <c r="J266" t="s">
        <v>10</v>
      </c>
    </row>
    <row r="267" spans="1:10" x14ac:dyDescent="0.25">
      <c r="A267" s="1" t="s">
        <v>49</v>
      </c>
      <c r="B267" s="1" t="str">
        <f t="shared" si="8"/>
        <v>Friday</v>
      </c>
      <c r="C267" s="1" t="str">
        <f>TEXT(Penjualan_Dimsum[[#This Row],[Tanggal]],"mmmm")</f>
        <v>June</v>
      </c>
      <c r="D267" s="1" t="str">
        <f t="shared" si="9"/>
        <v>Weekday</v>
      </c>
      <c r="E267" t="s">
        <v>26</v>
      </c>
      <c r="F267" t="s">
        <v>9</v>
      </c>
      <c r="G267">
        <v>2</v>
      </c>
      <c r="H267">
        <v>15000</v>
      </c>
      <c r="I267">
        <v>30000</v>
      </c>
      <c r="J267" t="s">
        <v>20</v>
      </c>
    </row>
    <row r="268" spans="1:10" x14ac:dyDescent="0.25">
      <c r="A268" s="1" t="s">
        <v>62</v>
      </c>
      <c r="B268" s="1" t="str">
        <f t="shared" si="8"/>
        <v>Wednesday</v>
      </c>
      <c r="C268" s="1" t="str">
        <f>TEXT(Penjualan_Dimsum[[#This Row],[Tanggal]],"mmmm")</f>
        <v>June</v>
      </c>
      <c r="D268" s="1" t="str">
        <f t="shared" si="9"/>
        <v>Weekday</v>
      </c>
      <c r="E268" t="s">
        <v>26</v>
      </c>
      <c r="F268" t="s">
        <v>9</v>
      </c>
      <c r="G268">
        <v>8</v>
      </c>
      <c r="H268">
        <v>20000</v>
      </c>
      <c r="I268">
        <v>160000</v>
      </c>
      <c r="J268" t="s">
        <v>13</v>
      </c>
    </row>
    <row r="269" spans="1:10" x14ac:dyDescent="0.25">
      <c r="A269" s="1" t="s">
        <v>78</v>
      </c>
      <c r="B269" s="1" t="str">
        <f t="shared" si="8"/>
        <v>Friday</v>
      </c>
      <c r="C269" s="1" t="str">
        <f>TEXT(Penjualan_Dimsum[[#This Row],[Tanggal]],"mmmm")</f>
        <v>April</v>
      </c>
      <c r="D269" s="1" t="str">
        <f t="shared" si="9"/>
        <v>Weekday</v>
      </c>
      <c r="E269" t="s">
        <v>22</v>
      </c>
      <c r="F269" t="s">
        <v>9</v>
      </c>
      <c r="G269">
        <v>8</v>
      </c>
      <c r="H269">
        <v>12000</v>
      </c>
      <c r="I269">
        <v>96000</v>
      </c>
      <c r="J269" t="s">
        <v>18</v>
      </c>
    </row>
    <row r="270" spans="1:10" x14ac:dyDescent="0.25">
      <c r="A270" s="1" t="s">
        <v>77</v>
      </c>
      <c r="B270" s="1" t="str">
        <f t="shared" si="8"/>
        <v>Monday</v>
      </c>
      <c r="C270" s="1" t="str">
        <f>TEXT(Penjualan_Dimsum[[#This Row],[Tanggal]],"mmmm")</f>
        <v>June</v>
      </c>
      <c r="D270" s="1" t="str">
        <f t="shared" si="9"/>
        <v>Weekday</v>
      </c>
      <c r="E270" t="s">
        <v>16</v>
      </c>
      <c r="F270" t="s">
        <v>9</v>
      </c>
      <c r="G270">
        <v>3</v>
      </c>
      <c r="H270">
        <v>20000</v>
      </c>
      <c r="I270">
        <v>60000</v>
      </c>
      <c r="J270" t="s">
        <v>18</v>
      </c>
    </row>
    <row r="271" spans="1:10" x14ac:dyDescent="0.25">
      <c r="A271" s="1" t="s">
        <v>106</v>
      </c>
      <c r="B271" s="1" t="str">
        <f t="shared" si="8"/>
        <v>Monday</v>
      </c>
      <c r="C271" s="1" t="str">
        <f>TEXT(Penjualan_Dimsum[[#This Row],[Tanggal]],"mmmm")</f>
        <v>April</v>
      </c>
      <c r="D271" s="1" t="str">
        <f t="shared" si="9"/>
        <v>Weekday</v>
      </c>
      <c r="E271" t="s">
        <v>8</v>
      </c>
      <c r="F271" t="s">
        <v>9</v>
      </c>
      <c r="G271">
        <v>3</v>
      </c>
      <c r="H271">
        <v>15000</v>
      </c>
      <c r="I271">
        <v>45000</v>
      </c>
      <c r="J271" t="s">
        <v>10</v>
      </c>
    </row>
    <row r="272" spans="1:10" x14ac:dyDescent="0.25">
      <c r="A272" s="1" t="s">
        <v>29</v>
      </c>
      <c r="B272" s="1" t="str">
        <f t="shared" si="8"/>
        <v>Thursday</v>
      </c>
      <c r="C272" s="1" t="str">
        <f>TEXT(Penjualan_Dimsum[[#This Row],[Tanggal]],"mmmm")</f>
        <v>April</v>
      </c>
      <c r="D272" s="1" t="str">
        <f t="shared" si="9"/>
        <v>Weekday</v>
      </c>
      <c r="E272" t="s">
        <v>16</v>
      </c>
      <c r="F272" t="s">
        <v>9</v>
      </c>
      <c r="G272">
        <v>20</v>
      </c>
      <c r="H272">
        <v>12000</v>
      </c>
      <c r="I272">
        <v>240000</v>
      </c>
      <c r="J272" t="s">
        <v>20</v>
      </c>
    </row>
    <row r="273" spans="1:10" x14ac:dyDescent="0.25">
      <c r="A273" s="1" t="s">
        <v>101</v>
      </c>
      <c r="B273" s="1" t="str">
        <f t="shared" si="8"/>
        <v>Wednesday</v>
      </c>
      <c r="C273" s="1" t="str">
        <f>TEXT(Penjualan_Dimsum[[#This Row],[Tanggal]],"mmmm")</f>
        <v>April</v>
      </c>
      <c r="D273" s="1" t="str">
        <f t="shared" si="9"/>
        <v>Weekday</v>
      </c>
      <c r="E273" t="s">
        <v>8</v>
      </c>
      <c r="F273" t="s">
        <v>9</v>
      </c>
      <c r="G273">
        <v>1</v>
      </c>
      <c r="H273">
        <v>18000</v>
      </c>
      <c r="I273">
        <v>18000</v>
      </c>
      <c r="J273" t="s">
        <v>20</v>
      </c>
    </row>
    <row r="274" spans="1:10" x14ac:dyDescent="0.25">
      <c r="A274" s="1" t="s">
        <v>36</v>
      </c>
      <c r="B274" s="1" t="str">
        <f t="shared" si="8"/>
        <v>Sunday</v>
      </c>
      <c r="C274" s="1" t="str">
        <f>TEXT(Penjualan_Dimsum[[#This Row],[Tanggal]],"mmmm")</f>
        <v>June</v>
      </c>
      <c r="D274" s="1" t="str">
        <f t="shared" si="9"/>
        <v>Weekend</v>
      </c>
      <c r="E274" t="s">
        <v>12</v>
      </c>
      <c r="F274" t="s">
        <v>9</v>
      </c>
      <c r="G274">
        <v>4</v>
      </c>
      <c r="H274">
        <v>12000</v>
      </c>
      <c r="I274">
        <v>48000</v>
      </c>
      <c r="J274" t="s">
        <v>13</v>
      </c>
    </row>
    <row r="275" spans="1:10" x14ac:dyDescent="0.25">
      <c r="A275" s="1" t="s">
        <v>7</v>
      </c>
      <c r="B275" s="1" t="str">
        <f t="shared" si="8"/>
        <v>Friday</v>
      </c>
      <c r="C275" s="1" t="str">
        <f>TEXT(Penjualan_Dimsum[[#This Row],[Tanggal]],"mmmm")</f>
        <v>June</v>
      </c>
      <c r="D275" s="1" t="str">
        <f t="shared" si="9"/>
        <v>Weekday</v>
      </c>
      <c r="E275" t="s">
        <v>12</v>
      </c>
      <c r="F275" t="s">
        <v>9</v>
      </c>
      <c r="G275">
        <v>16</v>
      </c>
      <c r="H275">
        <v>15000</v>
      </c>
      <c r="I275">
        <v>240000</v>
      </c>
      <c r="J275" t="s">
        <v>20</v>
      </c>
    </row>
    <row r="276" spans="1:10" x14ac:dyDescent="0.25">
      <c r="A276" s="1" t="s">
        <v>33</v>
      </c>
      <c r="B276" s="1" t="str">
        <f t="shared" si="8"/>
        <v>Monday</v>
      </c>
      <c r="C276" s="1" t="str">
        <f>TEXT(Penjualan_Dimsum[[#This Row],[Tanggal]],"mmmm")</f>
        <v>April</v>
      </c>
      <c r="D276" s="1" t="str">
        <f t="shared" si="9"/>
        <v>Weekday</v>
      </c>
      <c r="E276" t="s">
        <v>22</v>
      </c>
      <c r="F276" t="s">
        <v>9</v>
      </c>
      <c r="G276">
        <v>15</v>
      </c>
      <c r="H276">
        <v>12000</v>
      </c>
      <c r="I276">
        <v>180000</v>
      </c>
      <c r="J276" t="s">
        <v>20</v>
      </c>
    </row>
    <row r="277" spans="1:10" x14ac:dyDescent="0.25">
      <c r="A277" s="1" t="s">
        <v>85</v>
      </c>
      <c r="B277" s="1" t="str">
        <f t="shared" si="8"/>
        <v>Tuesday</v>
      </c>
      <c r="C277" s="1" t="str">
        <f>TEXT(Penjualan_Dimsum[[#This Row],[Tanggal]],"mmmm")</f>
        <v>June</v>
      </c>
      <c r="D277" s="1" t="str">
        <f t="shared" si="9"/>
        <v>Weekday</v>
      </c>
      <c r="E277" t="s">
        <v>16</v>
      </c>
      <c r="F277" t="s">
        <v>9</v>
      </c>
      <c r="G277">
        <v>20</v>
      </c>
      <c r="H277">
        <v>18000</v>
      </c>
      <c r="I277">
        <v>360000</v>
      </c>
      <c r="J277" t="s">
        <v>20</v>
      </c>
    </row>
    <row r="278" spans="1:10" x14ac:dyDescent="0.25">
      <c r="A278" s="1" t="s">
        <v>98</v>
      </c>
      <c r="B278" s="1" t="str">
        <f t="shared" si="8"/>
        <v>Monday</v>
      </c>
      <c r="C278" s="1" t="str">
        <f>TEXT(Penjualan_Dimsum[[#This Row],[Tanggal]],"mmmm")</f>
        <v>April</v>
      </c>
      <c r="D278" s="1" t="str">
        <f t="shared" si="9"/>
        <v>Weekday</v>
      </c>
      <c r="E278" t="s">
        <v>16</v>
      </c>
      <c r="F278" t="s">
        <v>9</v>
      </c>
      <c r="G278">
        <v>12</v>
      </c>
      <c r="H278">
        <v>18000</v>
      </c>
      <c r="I278">
        <v>216000</v>
      </c>
      <c r="J278" t="s">
        <v>13</v>
      </c>
    </row>
    <row r="279" spans="1:10" x14ac:dyDescent="0.25">
      <c r="A279" s="1" t="s">
        <v>36</v>
      </c>
      <c r="B279" s="1" t="str">
        <f t="shared" si="8"/>
        <v>Sunday</v>
      </c>
      <c r="C279" s="1" t="str">
        <f>TEXT(Penjualan_Dimsum[[#This Row],[Tanggal]],"mmmm")</f>
        <v>June</v>
      </c>
      <c r="D279" s="1" t="str">
        <f t="shared" si="9"/>
        <v>Weekend</v>
      </c>
      <c r="E279" t="s">
        <v>12</v>
      </c>
      <c r="F279" t="s">
        <v>9</v>
      </c>
      <c r="G279">
        <v>18</v>
      </c>
      <c r="H279">
        <v>15000</v>
      </c>
      <c r="I279">
        <v>270000</v>
      </c>
      <c r="J279" t="s">
        <v>20</v>
      </c>
    </row>
    <row r="280" spans="1:10" x14ac:dyDescent="0.25">
      <c r="A280" s="1" t="s">
        <v>47</v>
      </c>
      <c r="B280" s="1" t="str">
        <f t="shared" si="8"/>
        <v>Friday</v>
      </c>
      <c r="C280" s="1" t="str">
        <f>TEXT(Penjualan_Dimsum[[#This Row],[Tanggal]],"mmmm")</f>
        <v>May</v>
      </c>
      <c r="D280" s="1" t="str">
        <f t="shared" si="9"/>
        <v>Weekday</v>
      </c>
      <c r="E280" t="s">
        <v>26</v>
      </c>
      <c r="F280" t="s">
        <v>9</v>
      </c>
      <c r="G280">
        <v>10</v>
      </c>
      <c r="H280">
        <v>18000</v>
      </c>
      <c r="I280">
        <v>180000</v>
      </c>
      <c r="J280" t="s">
        <v>13</v>
      </c>
    </row>
    <row r="281" spans="1:10" x14ac:dyDescent="0.25">
      <c r="A281" s="1" t="s">
        <v>82</v>
      </c>
      <c r="B281" s="1" t="str">
        <f t="shared" si="8"/>
        <v>Sunday</v>
      </c>
      <c r="C281" s="1" t="str">
        <f>TEXT(Penjualan_Dimsum[[#This Row],[Tanggal]],"mmmm")</f>
        <v>June</v>
      </c>
      <c r="D281" s="1" t="str">
        <f t="shared" si="9"/>
        <v>Weekend</v>
      </c>
      <c r="E281" t="s">
        <v>8</v>
      </c>
      <c r="F281" t="s">
        <v>9</v>
      </c>
      <c r="G281">
        <v>6</v>
      </c>
      <c r="H281">
        <v>15000</v>
      </c>
      <c r="I281">
        <v>90000</v>
      </c>
      <c r="J281" t="s">
        <v>20</v>
      </c>
    </row>
    <row r="282" spans="1:10" x14ac:dyDescent="0.25">
      <c r="A282" s="1" t="s">
        <v>94</v>
      </c>
      <c r="B282" s="1" t="str">
        <f t="shared" si="8"/>
        <v>Saturday</v>
      </c>
      <c r="C282" s="1" t="str">
        <f>TEXT(Penjualan_Dimsum[[#This Row],[Tanggal]],"mmmm")</f>
        <v>April</v>
      </c>
      <c r="D282" s="1" t="str">
        <f t="shared" si="9"/>
        <v>Weekend</v>
      </c>
      <c r="E282" t="s">
        <v>22</v>
      </c>
      <c r="F282" t="s">
        <v>9</v>
      </c>
      <c r="G282">
        <v>19</v>
      </c>
      <c r="H282">
        <v>15000</v>
      </c>
      <c r="I282">
        <v>285000</v>
      </c>
      <c r="J282" t="s">
        <v>13</v>
      </c>
    </row>
    <row r="283" spans="1:10" x14ac:dyDescent="0.25">
      <c r="A283" s="1" t="s">
        <v>60</v>
      </c>
      <c r="B283" s="1" t="str">
        <f t="shared" si="8"/>
        <v>Saturday</v>
      </c>
      <c r="C283" s="1" t="str">
        <f>TEXT(Penjualan_Dimsum[[#This Row],[Tanggal]],"mmmm")</f>
        <v>April</v>
      </c>
      <c r="D283" s="1" t="str">
        <f t="shared" si="9"/>
        <v>Weekend</v>
      </c>
      <c r="E283" t="s">
        <v>22</v>
      </c>
      <c r="F283" t="s">
        <v>9</v>
      </c>
      <c r="G283">
        <v>2</v>
      </c>
      <c r="H283">
        <v>12000</v>
      </c>
      <c r="I283">
        <v>24000</v>
      </c>
      <c r="J283" t="s">
        <v>18</v>
      </c>
    </row>
    <row r="284" spans="1:10" x14ac:dyDescent="0.25">
      <c r="A284" s="1" t="s">
        <v>23</v>
      </c>
      <c r="B284" s="1" t="str">
        <f t="shared" si="8"/>
        <v>Friday</v>
      </c>
      <c r="C284" s="1" t="str">
        <f>TEXT(Penjualan_Dimsum[[#This Row],[Tanggal]],"mmmm")</f>
        <v>June</v>
      </c>
      <c r="D284" s="1" t="str">
        <f t="shared" si="9"/>
        <v>Weekday</v>
      </c>
      <c r="E284" t="s">
        <v>16</v>
      </c>
      <c r="F284" t="s">
        <v>9</v>
      </c>
      <c r="G284">
        <v>15</v>
      </c>
      <c r="H284">
        <v>12000</v>
      </c>
      <c r="I284">
        <v>180000</v>
      </c>
      <c r="J284" t="s">
        <v>18</v>
      </c>
    </row>
    <row r="285" spans="1:10" x14ac:dyDescent="0.25">
      <c r="A285" s="1" t="s">
        <v>55</v>
      </c>
      <c r="B285" s="1" t="str">
        <f t="shared" si="8"/>
        <v>Wednesday</v>
      </c>
      <c r="C285" s="1" t="str">
        <f>TEXT(Penjualan_Dimsum[[#This Row],[Tanggal]],"mmmm")</f>
        <v>April</v>
      </c>
      <c r="D285" s="1" t="str">
        <f t="shared" si="9"/>
        <v>Weekday</v>
      </c>
      <c r="E285" t="s">
        <v>22</v>
      </c>
      <c r="F285" t="s">
        <v>9</v>
      </c>
      <c r="G285">
        <v>20</v>
      </c>
      <c r="H285">
        <v>15000</v>
      </c>
      <c r="I285">
        <v>300000</v>
      </c>
      <c r="J285" t="s">
        <v>10</v>
      </c>
    </row>
    <row r="286" spans="1:10" x14ac:dyDescent="0.25">
      <c r="A286" s="1" t="s">
        <v>60</v>
      </c>
      <c r="B286" s="1" t="str">
        <f t="shared" si="8"/>
        <v>Saturday</v>
      </c>
      <c r="C286" s="1" t="str">
        <f>TEXT(Penjualan_Dimsum[[#This Row],[Tanggal]],"mmmm")</f>
        <v>April</v>
      </c>
      <c r="D286" s="1" t="str">
        <f t="shared" si="9"/>
        <v>Weekend</v>
      </c>
      <c r="E286" t="s">
        <v>8</v>
      </c>
      <c r="F286" t="s">
        <v>9</v>
      </c>
      <c r="G286">
        <v>2</v>
      </c>
      <c r="H286">
        <v>20000</v>
      </c>
      <c r="I286">
        <v>40000</v>
      </c>
      <c r="J286" t="s">
        <v>18</v>
      </c>
    </row>
    <row r="287" spans="1:10" x14ac:dyDescent="0.25">
      <c r="A287" s="1" t="s">
        <v>28</v>
      </c>
      <c r="B287" s="1" t="str">
        <f t="shared" si="8"/>
        <v>Tuesday</v>
      </c>
      <c r="C287" s="1" t="str">
        <f>TEXT(Penjualan_Dimsum[[#This Row],[Tanggal]],"mmmm")</f>
        <v>June</v>
      </c>
      <c r="D287" s="1" t="str">
        <f t="shared" si="9"/>
        <v>Weekday</v>
      </c>
      <c r="E287" t="s">
        <v>26</v>
      </c>
      <c r="F287" t="s">
        <v>9</v>
      </c>
      <c r="G287">
        <v>14</v>
      </c>
      <c r="H287">
        <v>18000</v>
      </c>
      <c r="I287">
        <v>252000</v>
      </c>
      <c r="J287" t="s">
        <v>18</v>
      </c>
    </row>
    <row r="288" spans="1:10" x14ac:dyDescent="0.25">
      <c r="A288" s="1" t="s">
        <v>48</v>
      </c>
      <c r="B288" s="1" t="str">
        <f t="shared" si="8"/>
        <v>Tuesday</v>
      </c>
      <c r="C288" s="1" t="str">
        <f>TEXT(Penjualan_Dimsum[[#This Row],[Tanggal]],"mmmm")</f>
        <v>April</v>
      </c>
      <c r="D288" s="1" t="str">
        <f t="shared" si="9"/>
        <v>Weekday</v>
      </c>
      <c r="E288" t="s">
        <v>22</v>
      </c>
      <c r="F288" t="s">
        <v>9</v>
      </c>
      <c r="G288">
        <v>10</v>
      </c>
      <c r="H288">
        <v>12000</v>
      </c>
      <c r="I288">
        <v>120000</v>
      </c>
      <c r="J288" t="s">
        <v>20</v>
      </c>
    </row>
    <row r="289" spans="1:10" x14ac:dyDescent="0.25">
      <c r="A289" s="1" t="s">
        <v>48</v>
      </c>
      <c r="B289" s="1" t="str">
        <f t="shared" si="8"/>
        <v>Tuesday</v>
      </c>
      <c r="C289" s="1" t="str">
        <f>TEXT(Penjualan_Dimsum[[#This Row],[Tanggal]],"mmmm")</f>
        <v>April</v>
      </c>
      <c r="D289" s="1" t="str">
        <f t="shared" si="9"/>
        <v>Weekday</v>
      </c>
      <c r="E289" t="s">
        <v>8</v>
      </c>
      <c r="F289" t="s">
        <v>9</v>
      </c>
      <c r="G289">
        <v>18</v>
      </c>
      <c r="H289">
        <v>18000</v>
      </c>
      <c r="I289">
        <v>324000</v>
      </c>
      <c r="J289" t="s">
        <v>13</v>
      </c>
    </row>
    <row r="290" spans="1:10" x14ac:dyDescent="0.25">
      <c r="A290" s="1" t="s">
        <v>21</v>
      </c>
      <c r="B290" s="1" t="str">
        <f t="shared" si="8"/>
        <v>Thursday</v>
      </c>
      <c r="C290" s="1" t="str">
        <f>TEXT(Penjualan_Dimsum[[#This Row],[Tanggal]],"mmmm")</f>
        <v>May</v>
      </c>
      <c r="D290" s="1" t="str">
        <f t="shared" si="9"/>
        <v>Weekday</v>
      </c>
      <c r="E290" t="s">
        <v>26</v>
      </c>
      <c r="F290" t="s">
        <v>9</v>
      </c>
      <c r="G290">
        <v>11</v>
      </c>
      <c r="H290">
        <v>12000</v>
      </c>
      <c r="I290">
        <v>132000</v>
      </c>
      <c r="J290" t="s">
        <v>13</v>
      </c>
    </row>
    <row r="291" spans="1:10" x14ac:dyDescent="0.25">
      <c r="A291" s="1" t="s">
        <v>78</v>
      </c>
      <c r="B291" s="1" t="str">
        <f t="shared" si="8"/>
        <v>Friday</v>
      </c>
      <c r="C291" s="1" t="str">
        <f>TEXT(Penjualan_Dimsum[[#This Row],[Tanggal]],"mmmm")</f>
        <v>April</v>
      </c>
      <c r="D291" s="1" t="str">
        <f t="shared" si="9"/>
        <v>Weekday</v>
      </c>
      <c r="E291" t="s">
        <v>22</v>
      </c>
      <c r="F291" t="s">
        <v>9</v>
      </c>
      <c r="G291">
        <v>2</v>
      </c>
      <c r="H291">
        <v>18000</v>
      </c>
      <c r="I291">
        <v>36000</v>
      </c>
      <c r="J291" t="s">
        <v>18</v>
      </c>
    </row>
    <row r="292" spans="1:10" x14ac:dyDescent="0.25">
      <c r="A292" s="1" t="s">
        <v>56</v>
      </c>
      <c r="B292" s="1" t="str">
        <f t="shared" si="8"/>
        <v>Friday</v>
      </c>
      <c r="C292" s="1" t="str">
        <f>TEXT(Penjualan_Dimsum[[#This Row],[Tanggal]],"mmmm")</f>
        <v>May</v>
      </c>
      <c r="D292" s="1" t="str">
        <f t="shared" si="9"/>
        <v>Weekday</v>
      </c>
      <c r="E292" t="s">
        <v>22</v>
      </c>
      <c r="F292" t="s">
        <v>9</v>
      </c>
      <c r="G292">
        <v>3</v>
      </c>
      <c r="H292">
        <v>18000</v>
      </c>
      <c r="I292">
        <v>54000</v>
      </c>
      <c r="J292" t="s">
        <v>13</v>
      </c>
    </row>
    <row r="293" spans="1:10" x14ac:dyDescent="0.25">
      <c r="A293" s="1" t="s">
        <v>29</v>
      </c>
      <c r="B293" s="1" t="str">
        <f t="shared" si="8"/>
        <v>Thursday</v>
      </c>
      <c r="C293" s="1" t="str">
        <f>TEXT(Penjualan_Dimsum[[#This Row],[Tanggal]],"mmmm")</f>
        <v>April</v>
      </c>
      <c r="D293" s="1" t="str">
        <f t="shared" si="9"/>
        <v>Weekday</v>
      </c>
      <c r="E293" t="s">
        <v>12</v>
      </c>
      <c r="F293" t="s">
        <v>9</v>
      </c>
      <c r="G293">
        <v>11</v>
      </c>
      <c r="H293">
        <v>18000</v>
      </c>
      <c r="I293">
        <v>198000</v>
      </c>
      <c r="J293" t="s">
        <v>20</v>
      </c>
    </row>
    <row r="294" spans="1:10" x14ac:dyDescent="0.25">
      <c r="A294" s="1" t="s">
        <v>78</v>
      </c>
      <c r="B294" s="1" t="str">
        <f t="shared" si="8"/>
        <v>Friday</v>
      </c>
      <c r="C294" s="1" t="str">
        <f>TEXT(Penjualan_Dimsum[[#This Row],[Tanggal]],"mmmm")</f>
        <v>April</v>
      </c>
      <c r="D294" s="1" t="str">
        <f t="shared" si="9"/>
        <v>Weekday</v>
      </c>
      <c r="E294" t="s">
        <v>8</v>
      </c>
      <c r="F294" t="s">
        <v>9</v>
      </c>
      <c r="G294">
        <v>6</v>
      </c>
      <c r="H294">
        <v>15000</v>
      </c>
      <c r="I294">
        <v>90000</v>
      </c>
      <c r="J294" t="s">
        <v>18</v>
      </c>
    </row>
    <row r="295" spans="1:10" x14ac:dyDescent="0.25">
      <c r="A295" s="1" t="s">
        <v>14</v>
      </c>
      <c r="B295" s="1" t="str">
        <f t="shared" si="8"/>
        <v>Monday</v>
      </c>
      <c r="C295" s="1" t="str">
        <f>TEXT(Penjualan_Dimsum[[#This Row],[Tanggal]],"mmmm")</f>
        <v>June</v>
      </c>
      <c r="D295" s="1" t="str">
        <f t="shared" si="9"/>
        <v>Weekday</v>
      </c>
      <c r="E295" t="s">
        <v>26</v>
      </c>
      <c r="F295" t="s">
        <v>9</v>
      </c>
      <c r="G295">
        <v>14</v>
      </c>
      <c r="H295">
        <v>20000</v>
      </c>
      <c r="I295">
        <v>280000</v>
      </c>
      <c r="J295" t="s">
        <v>18</v>
      </c>
    </row>
    <row r="296" spans="1:10" x14ac:dyDescent="0.25">
      <c r="A296" s="1" t="s">
        <v>27</v>
      </c>
      <c r="B296" s="1" t="str">
        <f t="shared" si="8"/>
        <v>Sunday</v>
      </c>
      <c r="C296" s="1" t="str">
        <f>TEXT(Penjualan_Dimsum[[#This Row],[Tanggal]],"mmmm")</f>
        <v>June</v>
      </c>
      <c r="D296" s="1" t="str">
        <f t="shared" si="9"/>
        <v>Weekend</v>
      </c>
      <c r="E296" t="s">
        <v>12</v>
      </c>
      <c r="F296" t="s">
        <v>9</v>
      </c>
      <c r="G296">
        <v>15</v>
      </c>
      <c r="H296">
        <v>15000</v>
      </c>
      <c r="I296">
        <v>225000</v>
      </c>
      <c r="J296" t="s">
        <v>13</v>
      </c>
    </row>
    <row r="297" spans="1:10" x14ac:dyDescent="0.25">
      <c r="A297" s="1" t="s">
        <v>34</v>
      </c>
      <c r="B297" s="1" t="str">
        <f t="shared" si="8"/>
        <v>Wednesday</v>
      </c>
      <c r="C297" s="1" t="str">
        <f>TEXT(Penjualan_Dimsum[[#This Row],[Tanggal]],"mmmm")</f>
        <v>June</v>
      </c>
      <c r="D297" s="1" t="str">
        <f t="shared" si="9"/>
        <v>Weekday</v>
      </c>
      <c r="E297" t="s">
        <v>16</v>
      </c>
      <c r="F297" t="s">
        <v>9</v>
      </c>
      <c r="G297">
        <v>10</v>
      </c>
      <c r="H297">
        <v>15000</v>
      </c>
      <c r="I297">
        <v>150000</v>
      </c>
      <c r="J297" t="s">
        <v>13</v>
      </c>
    </row>
    <row r="298" spans="1:10" x14ac:dyDescent="0.25">
      <c r="A298" s="1" t="s">
        <v>60</v>
      </c>
      <c r="B298" s="1" t="str">
        <f t="shared" si="8"/>
        <v>Saturday</v>
      </c>
      <c r="C298" s="1" t="str">
        <f>TEXT(Penjualan_Dimsum[[#This Row],[Tanggal]],"mmmm")</f>
        <v>April</v>
      </c>
      <c r="D298" s="1" t="str">
        <f t="shared" si="9"/>
        <v>Weekend</v>
      </c>
      <c r="E298" t="s">
        <v>26</v>
      </c>
      <c r="F298" t="s">
        <v>9</v>
      </c>
      <c r="G298">
        <v>17</v>
      </c>
      <c r="H298">
        <v>12000</v>
      </c>
      <c r="I298">
        <v>204000</v>
      </c>
      <c r="J298" t="s">
        <v>13</v>
      </c>
    </row>
    <row r="299" spans="1:10" x14ac:dyDescent="0.25">
      <c r="A299" s="1" t="s">
        <v>48</v>
      </c>
      <c r="B299" s="1" t="str">
        <f t="shared" si="8"/>
        <v>Tuesday</v>
      </c>
      <c r="C299" s="1" t="str">
        <f>TEXT(Penjualan_Dimsum[[#This Row],[Tanggal]],"mmmm")</f>
        <v>April</v>
      </c>
      <c r="D299" s="1" t="str">
        <f t="shared" si="9"/>
        <v>Weekday</v>
      </c>
      <c r="E299" t="s">
        <v>22</v>
      </c>
      <c r="F299" t="s">
        <v>9</v>
      </c>
      <c r="G299">
        <v>13</v>
      </c>
      <c r="H299">
        <v>12000</v>
      </c>
      <c r="I299">
        <v>156000</v>
      </c>
      <c r="J299" t="s">
        <v>20</v>
      </c>
    </row>
    <row r="300" spans="1:10" x14ac:dyDescent="0.25">
      <c r="A300" s="1" t="s">
        <v>32</v>
      </c>
      <c r="B300" s="1" t="str">
        <f t="shared" si="8"/>
        <v>Tuesday</v>
      </c>
      <c r="C300" s="1" t="str">
        <f>TEXT(Penjualan_Dimsum[[#This Row],[Tanggal]],"mmmm")</f>
        <v>May</v>
      </c>
      <c r="D300" s="1" t="str">
        <f t="shared" si="9"/>
        <v>Weekday</v>
      </c>
      <c r="E300" t="s">
        <v>22</v>
      </c>
      <c r="F300" t="s">
        <v>9</v>
      </c>
      <c r="G300">
        <v>15</v>
      </c>
      <c r="H300">
        <v>15000</v>
      </c>
      <c r="I300">
        <v>225000</v>
      </c>
      <c r="J300" t="s">
        <v>13</v>
      </c>
    </row>
    <row r="301" spans="1:10" x14ac:dyDescent="0.25">
      <c r="A301" s="1" t="s">
        <v>40</v>
      </c>
      <c r="B301" s="1" t="str">
        <f t="shared" si="8"/>
        <v>Thursday</v>
      </c>
      <c r="C301" s="1" t="str">
        <f>TEXT(Penjualan_Dimsum[[#This Row],[Tanggal]],"mmmm")</f>
        <v>June</v>
      </c>
      <c r="D301" s="1" t="str">
        <f t="shared" si="9"/>
        <v>Weekday</v>
      </c>
      <c r="E301" t="s">
        <v>16</v>
      </c>
      <c r="F301" t="s">
        <v>9</v>
      </c>
      <c r="G301">
        <v>2</v>
      </c>
      <c r="H301">
        <v>18000</v>
      </c>
      <c r="I301">
        <v>36000</v>
      </c>
      <c r="J301" t="s">
        <v>20</v>
      </c>
    </row>
    <row r="302" spans="1:10" x14ac:dyDescent="0.25">
      <c r="A302" s="1" t="s">
        <v>7</v>
      </c>
      <c r="B302" s="1" t="str">
        <f t="shared" si="8"/>
        <v>Friday</v>
      </c>
      <c r="C302" s="1" t="str">
        <f>TEXT(Penjualan_Dimsum[[#This Row],[Tanggal]],"mmmm")</f>
        <v>June</v>
      </c>
      <c r="D302" s="1" t="str">
        <f t="shared" si="9"/>
        <v>Weekday</v>
      </c>
      <c r="E302" t="s">
        <v>12</v>
      </c>
      <c r="F302" t="s">
        <v>9</v>
      </c>
      <c r="G302">
        <v>15</v>
      </c>
      <c r="H302">
        <v>15000</v>
      </c>
      <c r="I302">
        <v>225000</v>
      </c>
      <c r="J302" t="s">
        <v>10</v>
      </c>
    </row>
    <row r="303" spans="1:10" x14ac:dyDescent="0.25">
      <c r="A303" s="1" t="s">
        <v>29</v>
      </c>
      <c r="B303" s="1" t="str">
        <f t="shared" si="8"/>
        <v>Thursday</v>
      </c>
      <c r="C303" s="1" t="str">
        <f>TEXT(Penjualan_Dimsum[[#This Row],[Tanggal]],"mmmm")</f>
        <v>April</v>
      </c>
      <c r="D303" s="1" t="str">
        <f t="shared" si="9"/>
        <v>Weekday</v>
      </c>
      <c r="E303" t="s">
        <v>26</v>
      </c>
      <c r="F303" t="s">
        <v>9</v>
      </c>
      <c r="G303">
        <v>9</v>
      </c>
      <c r="H303">
        <v>12000</v>
      </c>
      <c r="I303">
        <v>108000</v>
      </c>
      <c r="J303" t="s">
        <v>10</v>
      </c>
    </row>
    <row r="304" spans="1:10" x14ac:dyDescent="0.25">
      <c r="A304" s="1" t="s">
        <v>37</v>
      </c>
      <c r="B304" s="1" t="str">
        <f t="shared" si="8"/>
        <v>Thursday</v>
      </c>
      <c r="C304" s="1" t="str">
        <f>TEXT(Penjualan_Dimsum[[#This Row],[Tanggal]],"mmmm")</f>
        <v>April</v>
      </c>
      <c r="D304" s="1" t="str">
        <f t="shared" si="9"/>
        <v>Weekday</v>
      </c>
      <c r="E304" t="s">
        <v>26</v>
      </c>
      <c r="F304" t="s">
        <v>9</v>
      </c>
      <c r="G304">
        <v>5</v>
      </c>
      <c r="H304">
        <v>18000</v>
      </c>
      <c r="I304">
        <v>90000</v>
      </c>
      <c r="J304" t="s">
        <v>18</v>
      </c>
    </row>
    <row r="305" spans="1:10" x14ac:dyDescent="0.25">
      <c r="A305" s="1" t="s">
        <v>45</v>
      </c>
      <c r="B305" s="1" t="str">
        <f t="shared" si="8"/>
        <v>Saturday</v>
      </c>
      <c r="C305" s="1" t="str">
        <f>TEXT(Penjualan_Dimsum[[#This Row],[Tanggal]],"mmmm")</f>
        <v>May</v>
      </c>
      <c r="D305" s="1" t="str">
        <f t="shared" si="9"/>
        <v>Weekend</v>
      </c>
      <c r="E305" t="s">
        <v>8</v>
      </c>
      <c r="F305" t="s">
        <v>9</v>
      </c>
      <c r="G305">
        <v>2</v>
      </c>
      <c r="H305">
        <v>20000</v>
      </c>
      <c r="I305">
        <v>40000</v>
      </c>
      <c r="J305" t="s">
        <v>20</v>
      </c>
    </row>
    <row r="306" spans="1:10" x14ac:dyDescent="0.25">
      <c r="A306" s="1" t="s">
        <v>77</v>
      </c>
      <c r="B306" s="1" t="str">
        <f t="shared" si="8"/>
        <v>Monday</v>
      </c>
      <c r="C306" s="1" t="str">
        <f>TEXT(Penjualan_Dimsum[[#This Row],[Tanggal]],"mmmm")</f>
        <v>June</v>
      </c>
      <c r="D306" s="1" t="str">
        <f t="shared" si="9"/>
        <v>Weekday</v>
      </c>
      <c r="E306" t="s">
        <v>26</v>
      </c>
      <c r="F306" t="s">
        <v>9</v>
      </c>
      <c r="G306">
        <v>10</v>
      </c>
      <c r="H306">
        <v>15000</v>
      </c>
      <c r="I306">
        <v>150000</v>
      </c>
      <c r="J306" t="s">
        <v>18</v>
      </c>
    </row>
    <row r="307" spans="1:10" x14ac:dyDescent="0.25">
      <c r="A307" s="1" t="s">
        <v>101</v>
      </c>
      <c r="B307" s="1" t="str">
        <f t="shared" si="8"/>
        <v>Wednesday</v>
      </c>
      <c r="C307" s="1" t="str">
        <f>TEXT(Penjualan_Dimsum[[#This Row],[Tanggal]],"mmmm")</f>
        <v>April</v>
      </c>
      <c r="D307" s="1" t="str">
        <f t="shared" si="9"/>
        <v>Weekday</v>
      </c>
      <c r="E307" t="s">
        <v>22</v>
      </c>
      <c r="F307" t="s">
        <v>9</v>
      </c>
      <c r="G307">
        <v>8</v>
      </c>
      <c r="H307">
        <v>15000</v>
      </c>
      <c r="I307">
        <v>120000</v>
      </c>
      <c r="J307" t="s">
        <v>20</v>
      </c>
    </row>
    <row r="308" spans="1:10" x14ac:dyDescent="0.25">
      <c r="A308" s="1" t="s">
        <v>39</v>
      </c>
      <c r="B308" s="1" t="str">
        <f t="shared" si="8"/>
        <v>Thursday</v>
      </c>
      <c r="C308" s="1" t="str">
        <f>TEXT(Penjualan_Dimsum[[#This Row],[Tanggal]],"mmmm")</f>
        <v>April</v>
      </c>
      <c r="D308" s="1" t="str">
        <f t="shared" si="9"/>
        <v>Weekday</v>
      </c>
      <c r="E308" t="s">
        <v>26</v>
      </c>
      <c r="F308" t="s">
        <v>9</v>
      </c>
      <c r="G308">
        <v>3</v>
      </c>
      <c r="H308">
        <v>15000</v>
      </c>
      <c r="I308">
        <v>45000</v>
      </c>
      <c r="J308" t="s">
        <v>13</v>
      </c>
    </row>
    <row r="309" spans="1:10" x14ac:dyDescent="0.25">
      <c r="A309" s="1" t="s">
        <v>45</v>
      </c>
      <c r="B309" s="1" t="str">
        <f t="shared" si="8"/>
        <v>Saturday</v>
      </c>
      <c r="C309" s="1" t="str">
        <f>TEXT(Penjualan_Dimsum[[#This Row],[Tanggal]],"mmmm")</f>
        <v>May</v>
      </c>
      <c r="D309" s="1" t="str">
        <f t="shared" si="9"/>
        <v>Weekend</v>
      </c>
      <c r="E309" t="s">
        <v>26</v>
      </c>
      <c r="F309" t="s">
        <v>9</v>
      </c>
      <c r="G309">
        <v>9</v>
      </c>
      <c r="H309">
        <v>12000</v>
      </c>
      <c r="I309">
        <v>108000</v>
      </c>
      <c r="J309" t="s">
        <v>18</v>
      </c>
    </row>
    <row r="310" spans="1:10" x14ac:dyDescent="0.25">
      <c r="A310" s="1" t="s">
        <v>28</v>
      </c>
      <c r="B310" s="1" t="str">
        <f t="shared" si="8"/>
        <v>Tuesday</v>
      </c>
      <c r="C310" s="1" t="str">
        <f>TEXT(Penjualan_Dimsum[[#This Row],[Tanggal]],"mmmm")</f>
        <v>June</v>
      </c>
      <c r="D310" s="1" t="str">
        <f t="shared" si="9"/>
        <v>Weekday</v>
      </c>
      <c r="E310" t="s">
        <v>16</v>
      </c>
      <c r="F310" t="s">
        <v>9</v>
      </c>
      <c r="G310">
        <v>9</v>
      </c>
      <c r="H310">
        <v>12000</v>
      </c>
      <c r="I310">
        <v>108000</v>
      </c>
      <c r="J310" t="s">
        <v>18</v>
      </c>
    </row>
    <row r="311" spans="1:10" x14ac:dyDescent="0.25">
      <c r="A311" s="1" t="s">
        <v>56</v>
      </c>
      <c r="B311" s="1" t="str">
        <f t="shared" si="8"/>
        <v>Friday</v>
      </c>
      <c r="C311" s="1" t="str">
        <f>TEXT(Penjualan_Dimsum[[#This Row],[Tanggal]],"mmmm")</f>
        <v>May</v>
      </c>
      <c r="D311" s="1" t="str">
        <f t="shared" si="9"/>
        <v>Weekday</v>
      </c>
      <c r="E311" t="s">
        <v>12</v>
      </c>
      <c r="F311" t="s">
        <v>9</v>
      </c>
      <c r="G311">
        <v>6</v>
      </c>
      <c r="H311">
        <v>12000</v>
      </c>
      <c r="I311">
        <v>72000</v>
      </c>
      <c r="J311" t="s">
        <v>20</v>
      </c>
    </row>
    <row r="312" spans="1:10" x14ac:dyDescent="0.25">
      <c r="A312" s="1" t="s">
        <v>98</v>
      </c>
      <c r="B312" s="1" t="str">
        <f t="shared" si="8"/>
        <v>Monday</v>
      </c>
      <c r="C312" s="1" t="str">
        <f>TEXT(Penjualan_Dimsum[[#This Row],[Tanggal]],"mmmm")</f>
        <v>April</v>
      </c>
      <c r="D312" s="1" t="str">
        <f t="shared" si="9"/>
        <v>Weekday</v>
      </c>
      <c r="E312" t="s">
        <v>26</v>
      </c>
      <c r="F312" t="s">
        <v>9</v>
      </c>
      <c r="G312">
        <v>16</v>
      </c>
      <c r="H312">
        <v>12000</v>
      </c>
      <c r="I312">
        <v>192000</v>
      </c>
      <c r="J312" t="s">
        <v>13</v>
      </c>
    </row>
    <row r="313" spans="1:10" x14ac:dyDescent="0.25">
      <c r="A313" s="1" t="s">
        <v>93</v>
      </c>
      <c r="B313" s="1" t="str">
        <f t="shared" si="8"/>
        <v>Friday</v>
      </c>
      <c r="C313" s="1" t="str">
        <f>TEXT(Penjualan_Dimsum[[#This Row],[Tanggal]],"mmmm")</f>
        <v>May</v>
      </c>
      <c r="D313" s="1" t="str">
        <f t="shared" si="9"/>
        <v>Weekday</v>
      </c>
      <c r="E313" t="s">
        <v>26</v>
      </c>
      <c r="F313" t="s">
        <v>9</v>
      </c>
      <c r="G313">
        <v>13</v>
      </c>
      <c r="H313">
        <v>12000</v>
      </c>
      <c r="I313">
        <v>156000</v>
      </c>
      <c r="J313" t="s">
        <v>10</v>
      </c>
    </row>
    <row r="314" spans="1:10" x14ac:dyDescent="0.25">
      <c r="A314" s="1" t="s">
        <v>97</v>
      </c>
      <c r="B314" s="1" t="str">
        <f t="shared" si="8"/>
        <v>Thursday</v>
      </c>
      <c r="C314" s="1" t="str">
        <f>TEXT(Penjualan_Dimsum[[#This Row],[Tanggal]],"mmmm")</f>
        <v>May</v>
      </c>
      <c r="D314" s="1" t="str">
        <f t="shared" si="9"/>
        <v>Weekday</v>
      </c>
      <c r="E314" t="s">
        <v>16</v>
      </c>
      <c r="F314" t="s">
        <v>9</v>
      </c>
      <c r="G314">
        <v>5</v>
      </c>
      <c r="H314">
        <v>18000</v>
      </c>
      <c r="I314">
        <v>90000</v>
      </c>
      <c r="J314" t="s">
        <v>18</v>
      </c>
    </row>
    <row r="315" spans="1:10" x14ac:dyDescent="0.25">
      <c r="A315" s="1" t="s">
        <v>11</v>
      </c>
      <c r="B315" s="1" t="str">
        <f t="shared" si="8"/>
        <v>Wednesday</v>
      </c>
      <c r="C315" s="1" t="str">
        <f>TEXT(Penjualan_Dimsum[[#This Row],[Tanggal]],"mmmm")</f>
        <v>April</v>
      </c>
      <c r="D315" s="1" t="str">
        <f t="shared" si="9"/>
        <v>Weekday</v>
      </c>
      <c r="E315" t="s">
        <v>26</v>
      </c>
      <c r="F315" t="s">
        <v>9</v>
      </c>
      <c r="G315">
        <v>12</v>
      </c>
      <c r="H315">
        <v>12000</v>
      </c>
      <c r="I315">
        <v>144000</v>
      </c>
      <c r="J315" t="s">
        <v>20</v>
      </c>
    </row>
    <row r="316" spans="1:10" x14ac:dyDescent="0.25">
      <c r="A316" s="1" t="s">
        <v>105</v>
      </c>
      <c r="B316" s="1" t="str">
        <f t="shared" si="8"/>
        <v>Tuesday</v>
      </c>
      <c r="C316" s="1" t="str">
        <f>TEXT(Penjualan_Dimsum[[#This Row],[Tanggal]],"mmmm")</f>
        <v>May</v>
      </c>
      <c r="D316" s="1" t="str">
        <f t="shared" si="9"/>
        <v>Weekday</v>
      </c>
      <c r="E316" t="s">
        <v>16</v>
      </c>
      <c r="F316" t="s">
        <v>9</v>
      </c>
      <c r="G316">
        <v>14</v>
      </c>
      <c r="H316">
        <v>18000</v>
      </c>
      <c r="I316">
        <v>252000</v>
      </c>
      <c r="J316" t="s">
        <v>13</v>
      </c>
    </row>
    <row r="317" spans="1:10" x14ac:dyDescent="0.25">
      <c r="A317" s="1" t="s">
        <v>45</v>
      </c>
      <c r="B317" s="1" t="str">
        <f t="shared" si="8"/>
        <v>Saturday</v>
      </c>
      <c r="C317" s="1" t="str">
        <f>TEXT(Penjualan_Dimsum[[#This Row],[Tanggal]],"mmmm")</f>
        <v>May</v>
      </c>
      <c r="D317" s="1" t="str">
        <f t="shared" si="9"/>
        <v>Weekend</v>
      </c>
      <c r="E317" t="s">
        <v>8</v>
      </c>
      <c r="F317" t="s">
        <v>9</v>
      </c>
      <c r="G317">
        <v>12</v>
      </c>
      <c r="H317">
        <v>12000</v>
      </c>
      <c r="I317">
        <v>144000</v>
      </c>
      <c r="J317" t="s">
        <v>13</v>
      </c>
    </row>
    <row r="318" spans="1:10" x14ac:dyDescent="0.25">
      <c r="A318" s="1" t="s">
        <v>59</v>
      </c>
      <c r="B318" s="1" t="str">
        <f t="shared" si="8"/>
        <v>Tuesday</v>
      </c>
      <c r="C318" s="1" t="str">
        <f>TEXT(Penjualan_Dimsum[[#This Row],[Tanggal]],"mmmm")</f>
        <v>June</v>
      </c>
      <c r="D318" s="1" t="str">
        <f t="shared" si="9"/>
        <v>Weekday</v>
      </c>
      <c r="E318" t="s">
        <v>16</v>
      </c>
      <c r="F318" t="s">
        <v>9</v>
      </c>
      <c r="G318">
        <v>15</v>
      </c>
      <c r="H318">
        <v>12000</v>
      </c>
      <c r="I318">
        <v>180000</v>
      </c>
      <c r="J318" t="s">
        <v>20</v>
      </c>
    </row>
    <row r="319" spans="1:10" x14ac:dyDescent="0.25">
      <c r="A319" s="1" t="s">
        <v>47</v>
      </c>
      <c r="B319" s="1" t="str">
        <f t="shared" si="8"/>
        <v>Friday</v>
      </c>
      <c r="C319" s="1" t="str">
        <f>TEXT(Penjualan_Dimsum[[#This Row],[Tanggal]],"mmmm")</f>
        <v>May</v>
      </c>
      <c r="D319" s="1" t="str">
        <f t="shared" si="9"/>
        <v>Weekday</v>
      </c>
      <c r="E319" t="s">
        <v>8</v>
      </c>
      <c r="F319" t="s">
        <v>9</v>
      </c>
      <c r="G319">
        <v>11</v>
      </c>
      <c r="H319">
        <v>18000</v>
      </c>
      <c r="I319">
        <v>198000</v>
      </c>
      <c r="J319" t="s">
        <v>20</v>
      </c>
    </row>
    <row r="320" spans="1:10" x14ac:dyDescent="0.25">
      <c r="A320" s="1" t="s">
        <v>31</v>
      </c>
      <c r="B320" s="1" t="str">
        <f t="shared" si="8"/>
        <v>Sunday</v>
      </c>
      <c r="C320" s="1" t="str">
        <f>TEXT(Penjualan_Dimsum[[#This Row],[Tanggal]],"mmmm")</f>
        <v>April</v>
      </c>
      <c r="D320" s="1" t="str">
        <f t="shared" si="9"/>
        <v>Weekend</v>
      </c>
      <c r="E320" t="s">
        <v>16</v>
      </c>
      <c r="F320" t="s">
        <v>9</v>
      </c>
      <c r="G320">
        <v>3</v>
      </c>
      <c r="H320">
        <v>15000</v>
      </c>
      <c r="I320">
        <v>45000</v>
      </c>
      <c r="J320" t="s">
        <v>20</v>
      </c>
    </row>
    <row r="321" spans="1:10" x14ac:dyDescent="0.25">
      <c r="A321" s="1" t="s">
        <v>67</v>
      </c>
      <c r="B321" s="1" t="str">
        <f t="shared" si="8"/>
        <v>Friday</v>
      </c>
      <c r="C321" s="1" t="str">
        <f>TEXT(Penjualan_Dimsum[[#This Row],[Tanggal]],"mmmm")</f>
        <v>April</v>
      </c>
      <c r="D321" s="1" t="str">
        <f t="shared" si="9"/>
        <v>Weekday</v>
      </c>
      <c r="E321" t="s">
        <v>16</v>
      </c>
      <c r="F321" t="s">
        <v>9</v>
      </c>
      <c r="G321">
        <v>8</v>
      </c>
      <c r="H321">
        <v>15000</v>
      </c>
      <c r="I321">
        <v>120000</v>
      </c>
      <c r="J321" t="s">
        <v>18</v>
      </c>
    </row>
    <row r="322" spans="1:10" x14ac:dyDescent="0.25">
      <c r="A322" s="1" t="s">
        <v>84</v>
      </c>
      <c r="B322" s="1" t="str">
        <f t="shared" si="8"/>
        <v>Thursday</v>
      </c>
      <c r="C322" s="1" t="str">
        <f>TEXT(Penjualan_Dimsum[[#This Row],[Tanggal]],"mmmm")</f>
        <v>May</v>
      </c>
      <c r="D322" s="1" t="str">
        <f t="shared" si="9"/>
        <v>Weekday</v>
      </c>
      <c r="E322" t="s">
        <v>22</v>
      </c>
      <c r="F322" t="s">
        <v>9</v>
      </c>
      <c r="G322">
        <v>7</v>
      </c>
      <c r="H322">
        <v>15000</v>
      </c>
      <c r="I322">
        <v>105000</v>
      </c>
      <c r="J322" t="s">
        <v>10</v>
      </c>
    </row>
    <row r="323" spans="1:10" x14ac:dyDescent="0.25">
      <c r="A323" s="1" t="s">
        <v>59</v>
      </c>
      <c r="B323" s="1" t="str">
        <f t="shared" ref="B323:B386" si="10">TEXT(A323,"DDDD")</f>
        <v>Tuesday</v>
      </c>
      <c r="C323" s="1" t="str">
        <f>TEXT(Penjualan_Dimsum[[#This Row],[Tanggal]],"mmmm")</f>
        <v>June</v>
      </c>
      <c r="D323" s="1" t="str">
        <f t="shared" ref="D323:D386" si="11">IF(OR(B323="Saturday",B323="Sunday"),"Weekend","Weekday")</f>
        <v>Weekday</v>
      </c>
      <c r="E323" t="s">
        <v>22</v>
      </c>
      <c r="F323" t="s">
        <v>9</v>
      </c>
      <c r="G323">
        <v>11</v>
      </c>
      <c r="H323">
        <v>20000</v>
      </c>
      <c r="I323">
        <v>220000</v>
      </c>
      <c r="J323" t="s">
        <v>10</v>
      </c>
    </row>
    <row r="324" spans="1:10" x14ac:dyDescent="0.25">
      <c r="A324" s="1" t="s">
        <v>84</v>
      </c>
      <c r="B324" s="1" t="str">
        <f t="shared" si="10"/>
        <v>Thursday</v>
      </c>
      <c r="C324" s="1" t="str">
        <f>TEXT(Penjualan_Dimsum[[#This Row],[Tanggal]],"mmmm")</f>
        <v>May</v>
      </c>
      <c r="D324" s="1" t="str">
        <f t="shared" si="11"/>
        <v>Weekday</v>
      </c>
      <c r="E324" t="s">
        <v>26</v>
      </c>
      <c r="F324" t="s">
        <v>9</v>
      </c>
      <c r="G324">
        <v>12</v>
      </c>
      <c r="H324">
        <v>15000</v>
      </c>
      <c r="I324">
        <v>180000</v>
      </c>
      <c r="J324" t="s">
        <v>13</v>
      </c>
    </row>
    <row r="325" spans="1:10" x14ac:dyDescent="0.25">
      <c r="A325" s="1" t="s">
        <v>88</v>
      </c>
      <c r="B325" s="1" t="str">
        <f t="shared" si="10"/>
        <v>Tuesday</v>
      </c>
      <c r="C325" s="1" t="str">
        <f>TEXT(Penjualan_Dimsum[[#This Row],[Tanggal]],"mmmm")</f>
        <v>May</v>
      </c>
      <c r="D325" s="1" t="str">
        <f t="shared" si="11"/>
        <v>Weekday</v>
      </c>
      <c r="E325" t="s">
        <v>8</v>
      </c>
      <c r="F325" t="s">
        <v>9</v>
      </c>
      <c r="G325">
        <v>9</v>
      </c>
      <c r="H325">
        <v>12000</v>
      </c>
      <c r="I325">
        <v>108000</v>
      </c>
      <c r="J325" t="s">
        <v>13</v>
      </c>
    </row>
    <row r="326" spans="1:10" x14ac:dyDescent="0.25">
      <c r="A326" s="1" t="s">
        <v>36</v>
      </c>
      <c r="B326" s="1" t="str">
        <f t="shared" si="10"/>
        <v>Sunday</v>
      </c>
      <c r="C326" s="1" t="str">
        <f>TEXT(Penjualan_Dimsum[[#This Row],[Tanggal]],"mmmm")</f>
        <v>June</v>
      </c>
      <c r="D326" s="1" t="str">
        <f t="shared" si="11"/>
        <v>Weekend</v>
      </c>
      <c r="E326" t="s">
        <v>22</v>
      </c>
      <c r="F326" t="s">
        <v>9</v>
      </c>
      <c r="G326">
        <v>15</v>
      </c>
      <c r="H326">
        <v>20000</v>
      </c>
      <c r="I326">
        <v>300000</v>
      </c>
      <c r="J326" t="s">
        <v>20</v>
      </c>
    </row>
    <row r="327" spans="1:10" x14ac:dyDescent="0.25">
      <c r="A327" s="1" t="s">
        <v>100</v>
      </c>
      <c r="B327" s="1" t="str">
        <f t="shared" si="10"/>
        <v>Saturday</v>
      </c>
      <c r="C327" s="1" t="str">
        <f>TEXT(Penjualan_Dimsum[[#This Row],[Tanggal]],"mmmm")</f>
        <v>June</v>
      </c>
      <c r="D327" s="1" t="str">
        <f t="shared" si="11"/>
        <v>Weekend</v>
      </c>
      <c r="E327" t="s">
        <v>12</v>
      </c>
      <c r="F327" t="s">
        <v>9</v>
      </c>
      <c r="G327">
        <v>6</v>
      </c>
      <c r="H327">
        <v>18000</v>
      </c>
      <c r="I327">
        <v>108000</v>
      </c>
      <c r="J327" t="s">
        <v>10</v>
      </c>
    </row>
    <row r="328" spans="1:10" x14ac:dyDescent="0.25">
      <c r="A328" s="1" t="s">
        <v>36</v>
      </c>
      <c r="B328" s="1" t="str">
        <f t="shared" si="10"/>
        <v>Sunday</v>
      </c>
      <c r="C328" s="1" t="str">
        <f>TEXT(Penjualan_Dimsum[[#This Row],[Tanggal]],"mmmm")</f>
        <v>June</v>
      </c>
      <c r="D328" s="1" t="str">
        <f t="shared" si="11"/>
        <v>Weekend</v>
      </c>
      <c r="E328" t="s">
        <v>12</v>
      </c>
      <c r="F328" t="s">
        <v>9</v>
      </c>
      <c r="G328">
        <v>4</v>
      </c>
      <c r="H328">
        <v>12000</v>
      </c>
      <c r="I328">
        <v>48000</v>
      </c>
      <c r="J328" t="s">
        <v>13</v>
      </c>
    </row>
    <row r="329" spans="1:10" x14ac:dyDescent="0.25">
      <c r="A329" s="1" t="s">
        <v>67</v>
      </c>
      <c r="B329" s="1" t="str">
        <f t="shared" si="10"/>
        <v>Friday</v>
      </c>
      <c r="C329" s="1" t="str">
        <f>TEXT(Penjualan_Dimsum[[#This Row],[Tanggal]],"mmmm")</f>
        <v>April</v>
      </c>
      <c r="D329" s="1" t="str">
        <f t="shared" si="11"/>
        <v>Weekday</v>
      </c>
      <c r="E329" t="s">
        <v>16</v>
      </c>
      <c r="F329" t="s">
        <v>9</v>
      </c>
      <c r="G329">
        <v>2</v>
      </c>
      <c r="H329">
        <v>12000</v>
      </c>
      <c r="I329">
        <v>24000</v>
      </c>
      <c r="J329" t="s">
        <v>13</v>
      </c>
    </row>
    <row r="330" spans="1:10" x14ac:dyDescent="0.25">
      <c r="A330" s="1" t="s">
        <v>105</v>
      </c>
      <c r="B330" s="1" t="str">
        <f t="shared" si="10"/>
        <v>Tuesday</v>
      </c>
      <c r="C330" s="1" t="str">
        <f>TEXT(Penjualan_Dimsum[[#This Row],[Tanggal]],"mmmm")</f>
        <v>May</v>
      </c>
      <c r="D330" s="1" t="str">
        <f t="shared" si="11"/>
        <v>Weekday</v>
      </c>
      <c r="E330" t="s">
        <v>26</v>
      </c>
      <c r="F330" t="s">
        <v>9</v>
      </c>
      <c r="G330">
        <v>20</v>
      </c>
      <c r="H330">
        <v>18000</v>
      </c>
      <c r="I330">
        <v>360000</v>
      </c>
      <c r="J330" t="s">
        <v>10</v>
      </c>
    </row>
    <row r="331" spans="1:10" x14ac:dyDescent="0.25">
      <c r="A331" s="1" t="s">
        <v>15</v>
      </c>
      <c r="B331" s="1" t="str">
        <f t="shared" si="10"/>
        <v>Friday</v>
      </c>
      <c r="C331" s="1" t="str">
        <f>TEXT(Penjualan_Dimsum[[#This Row],[Tanggal]],"mmmm")</f>
        <v>June</v>
      </c>
      <c r="D331" s="1" t="str">
        <f t="shared" si="11"/>
        <v>Weekday</v>
      </c>
      <c r="E331" t="s">
        <v>26</v>
      </c>
      <c r="F331" t="s">
        <v>9</v>
      </c>
      <c r="G331">
        <v>9</v>
      </c>
      <c r="H331">
        <v>18000</v>
      </c>
      <c r="I331">
        <v>162000</v>
      </c>
      <c r="J331" t="s">
        <v>20</v>
      </c>
    </row>
    <row r="332" spans="1:10" x14ac:dyDescent="0.25">
      <c r="A332" s="1" t="s">
        <v>66</v>
      </c>
      <c r="B332" s="1" t="str">
        <f t="shared" si="10"/>
        <v>Tuesday</v>
      </c>
      <c r="C332" s="1" t="str">
        <f>TEXT(Penjualan_Dimsum[[#This Row],[Tanggal]],"mmmm")</f>
        <v>April</v>
      </c>
      <c r="D332" s="1" t="str">
        <f t="shared" si="11"/>
        <v>Weekday</v>
      </c>
      <c r="E332" t="s">
        <v>16</v>
      </c>
      <c r="F332" t="s">
        <v>9</v>
      </c>
      <c r="G332">
        <v>11</v>
      </c>
      <c r="H332">
        <v>15000</v>
      </c>
      <c r="I332">
        <v>165000</v>
      </c>
      <c r="J332" t="s">
        <v>18</v>
      </c>
    </row>
    <row r="333" spans="1:10" x14ac:dyDescent="0.25">
      <c r="A333" s="1" t="s">
        <v>50</v>
      </c>
      <c r="B333" s="1" t="str">
        <f t="shared" si="10"/>
        <v>Tuesday</v>
      </c>
      <c r="C333" s="1" t="str">
        <f>TEXT(Penjualan_Dimsum[[#This Row],[Tanggal]],"mmmm")</f>
        <v>April</v>
      </c>
      <c r="D333" s="1" t="str">
        <f t="shared" si="11"/>
        <v>Weekday</v>
      </c>
      <c r="E333" t="s">
        <v>12</v>
      </c>
      <c r="F333" t="s">
        <v>9</v>
      </c>
      <c r="G333">
        <v>16</v>
      </c>
      <c r="H333">
        <v>15000</v>
      </c>
      <c r="I333">
        <v>240000</v>
      </c>
      <c r="J333" t="s">
        <v>18</v>
      </c>
    </row>
    <row r="334" spans="1:10" x14ac:dyDescent="0.25">
      <c r="A334" s="1" t="s">
        <v>71</v>
      </c>
      <c r="B334" s="1" t="str">
        <f t="shared" si="10"/>
        <v>Sunday</v>
      </c>
      <c r="C334" s="1" t="str">
        <f>TEXT(Penjualan_Dimsum[[#This Row],[Tanggal]],"mmmm")</f>
        <v>May</v>
      </c>
      <c r="D334" s="1" t="str">
        <f t="shared" si="11"/>
        <v>Weekend</v>
      </c>
      <c r="E334" t="s">
        <v>16</v>
      </c>
      <c r="F334" t="s">
        <v>9</v>
      </c>
      <c r="G334">
        <v>7</v>
      </c>
      <c r="H334">
        <v>15000</v>
      </c>
      <c r="I334">
        <v>105000</v>
      </c>
      <c r="J334" t="s">
        <v>13</v>
      </c>
    </row>
    <row r="335" spans="1:10" x14ac:dyDescent="0.25">
      <c r="A335" s="1" t="s">
        <v>60</v>
      </c>
      <c r="B335" s="1" t="str">
        <f t="shared" si="10"/>
        <v>Saturday</v>
      </c>
      <c r="C335" s="1" t="str">
        <f>TEXT(Penjualan_Dimsum[[#This Row],[Tanggal]],"mmmm")</f>
        <v>April</v>
      </c>
      <c r="D335" s="1" t="str">
        <f t="shared" si="11"/>
        <v>Weekend</v>
      </c>
      <c r="E335" t="s">
        <v>8</v>
      </c>
      <c r="F335" t="s">
        <v>9</v>
      </c>
      <c r="G335">
        <v>19</v>
      </c>
      <c r="H335">
        <v>12000</v>
      </c>
      <c r="I335">
        <v>228000</v>
      </c>
      <c r="J335" t="s">
        <v>18</v>
      </c>
    </row>
    <row r="336" spans="1:10" x14ac:dyDescent="0.25">
      <c r="A336" s="1" t="s">
        <v>56</v>
      </c>
      <c r="B336" s="1" t="str">
        <f t="shared" si="10"/>
        <v>Friday</v>
      </c>
      <c r="C336" s="1" t="str">
        <f>TEXT(Penjualan_Dimsum[[#This Row],[Tanggal]],"mmmm")</f>
        <v>May</v>
      </c>
      <c r="D336" s="1" t="str">
        <f t="shared" si="11"/>
        <v>Weekday</v>
      </c>
      <c r="E336" t="s">
        <v>26</v>
      </c>
      <c r="F336" t="s">
        <v>9</v>
      </c>
      <c r="G336">
        <v>5</v>
      </c>
      <c r="H336">
        <v>15000</v>
      </c>
      <c r="I336">
        <v>75000</v>
      </c>
      <c r="J336" t="s">
        <v>10</v>
      </c>
    </row>
    <row r="337" spans="1:10" x14ac:dyDescent="0.25">
      <c r="A337" s="1" t="s">
        <v>56</v>
      </c>
      <c r="B337" s="1" t="str">
        <f t="shared" si="10"/>
        <v>Friday</v>
      </c>
      <c r="C337" s="1" t="str">
        <f>TEXT(Penjualan_Dimsum[[#This Row],[Tanggal]],"mmmm")</f>
        <v>May</v>
      </c>
      <c r="D337" s="1" t="str">
        <f t="shared" si="11"/>
        <v>Weekday</v>
      </c>
      <c r="E337" t="s">
        <v>16</v>
      </c>
      <c r="F337" t="s">
        <v>9</v>
      </c>
      <c r="G337">
        <v>3</v>
      </c>
      <c r="H337">
        <v>18000</v>
      </c>
      <c r="I337">
        <v>54000</v>
      </c>
      <c r="J337" t="s">
        <v>13</v>
      </c>
    </row>
    <row r="338" spans="1:10" x14ac:dyDescent="0.25">
      <c r="A338" s="1" t="s">
        <v>7</v>
      </c>
      <c r="B338" s="1" t="str">
        <f t="shared" si="10"/>
        <v>Friday</v>
      </c>
      <c r="C338" s="1" t="str">
        <f>TEXT(Penjualan_Dimsum[[#This Row],[Tanggal]],"mmmm")</f>
        <v>June</v>
      </c>
      <c r="D338" s="1" t="str">
        <f t="shared" si="11"/>
        <v>Weekday</v>
      </c>
      <c r="E338" t="s">
        <v>16</v>
      </c>
      <c r="F338" t="s">
        <v>9</v>
      </c>
      <c r="G338">
        <v>15</v>
      </c>
      <c r="H338">
        <v>15000</v>
      </c>
      <c r="I338">
        <v>225000</v>
      </c>
      <c r="J338" t="s">
        <v>13</v>
      </c>
    </row>
    <row r="339" spans="1:10" x14ac:dyDescent="0.25">
      <c r="A339" s="1" t="s">
        <v>43</v>
      </c>
      <c r="B339" s="1" t="str">
        <f t="shared" si="10"/>
        <v>Thursday</v>
      </c>
      <c r="C339" s="1" t="str">
        <f>TEXT(Penjualan_Dimsum[[#This Row],[Tanggal]],"mmmm")</f>
        <v>May</v>
      </c>
      <c r="D339" s="1" t="str">
        <f t="shared" si="11"/>
        <v>Weekday</v>
      </c>
      <c r="E339" t="s">
        <v>12</v>
      </c>
      <c r="F339" t="s">
        <v>9</v>
      </c>
      <c r="G339">
        <v>7</v>
      </c>
      <c r="H339">
        <v>18000</v>
      </c>
      <c r="I339">
        <v>126000</v>
      </c>
      <c r="J339" t="s">
        <v>13</v>
      </c>
    </row>
    <row r="340" spans="1:10" x14ac:dyDescent="0.25">
      <c r="A340" s="1" t="s">
        <v>82</v>
      </c>
      <c r="B340" s="1" t="str">
        <f t="shared" si="10"/>
        <v>Sunday</v>
      </c>
      <c r="C340" s="1" t="str">
        <f>TEXT(Penjualan_Dimsum[[#This Row],[Tanggal]],"mmmm")</f>
        <v>June</v>
      </c>
      <c r="D340" s="1" t="str">
        <f t="shared" si="11"/>
        <v>Weekend</v>
      </c>
      <c r="E340" t="s">
        <v>22</v>
      </c>
      <c r="F340" t="s">
        <v>9</v>
      </c>
      <c r="G340">
        <v>9</v>
      </c>
      <c r="H340">
        <v>20000</v>
      </c>
      <c r="I340">
        <v>180000</v>
      </c>
      <c r="J340" t="s">
        <v>20</v>
      </c>
    </row>
    <row r="341" spans="1:10" x14ac:dyDescent="0.25">
      <c r="A341" s="1" t="s">
        <v>94</v>
      </c>
      <c r="B341" s="1" t="str">
        <f t="shared" si="10"/>
        <v>Saturday</v>
      </c>
      <c r="C341" s="1" t="str">
        <f>TEXT(Penjualan_Dimsum[[#This Row],[Tanggal]],"mmmm")</f>
        <v>April</v>
      </c>
      <c r="D341" s="1" t="str">
        <f t="shared" si="11"/>
        <v>Weekend</v>
      </c>
      <c r="E341" t="s">
        <v>16</v>
      </c>
      <c r="F341" t="s">
        <v>9</v>
      </c>
      <c r="G341">
        <v>5</v>
      </c>
      <c r="H341">
        <v>15000</v>
      </c>
      <c r="I341">
        <v>75000</v>
      </c>
      <c r="J341" t="s">
        <v>20</v>
      </c>
    </row>
    <row r="342" spans="1:10" x14ac:dyDescent="0.25">
      <c r="A342" s="1" t="s">
        <v>61</v>
      </c>
      <c r="B342" s="1" t="str">
        <f t="shared" si="10"/>
        <v>Wednesday</v>
      </c>
      <c r="C342" s="1" t="str">
        <f>TEXT(Penjualan_Dimsum[[#This Row],[Tanggal]],"mmmm")</f>
        <v>May</v>
      </c>
      <c r="D342" s="1" t="str">
        <f t="shared" si="11"/>
        <v>Weekday</v>
      </c>
      <c r="E342" t="s">
        <v>16</v>
      </c>
      <c r="F342" t="s">
        <v>9</v>
      </c>
      <c r="G342">
        <v>2</v>
      </c>
      <c r="H342">
        <v>15000</v>
      </c>
      <c r="I342">
        <v>30000</v>
      </c>
      <c r="J342" t="s">
        <v>20</v>
      </c>
    </row>
    <row r="343" spans="1:10" x14ac:dyDescent="0.25">
      <c r="A343" s="1" t="s">
        <v>84</v>
      </c>
      <c r="B343" s="1" t="str">
        <f t="shared" si="10"/>
        <v>Thursday</v>
      </c>
      <c r="C343" s="1" t="str">
        <f>TEXT(Penjualan_Dimsum[[#This Row],[Tanggal]],"mmmm")</f>
        <v>May</v>
      </c>
      <c r="D343" s="1" t="str">
        <f t="shared" si="11"/>
        <v>Weekday</v>
      </c>
      <c r="E343" t="s">
        <v>12</v>
      </c>
      <c r="F343" t="s">
        <v>9</v>
      </c>
      <c r="G343">
        <v>19</v>
      </c>
      <c r="H343">
        <v>12000</v>
      </c>
      <c r="I343">
        <v>228000</v>
      </c>
      <c r="J343" t="s">
        <v>13</v>
      </c>
    </row>
    <row r="344" spans="1:10" x14ac:dyDescent="0.25">
      <c r="A344" s="1" t="s">
        <v>47</v>
      </c>
      <c r="B344" s="1" t="str">
        <f t="shared" si="10"/>
        <v>Friday</v>
      </c>
      <c r="C344" s="1" t="str">
        <f>TEXT(Penjualan_Dimsum[[#This Row],[Tanggal]],"mmmm")</f>
        <v>May</v>
      </c>
      <c r="D344" s="1" t="str">
        <f t="shared" si="11"/>
        <v>Weekday</v>
      </c>
      <c r="E344" t="s">
        <v>26</v>
      </c>
      <c r="F344" t="s">
        <v>9</v>
      </c>
      <c r="G344">
        <v>8</v>
      </c>
      <c r="H344">
        <v>20000</v>
      </c>
      <c r="I344">
        <v>160000</v>
      </c>
      <c r="J344" t="s">
        <v>18</v>
      </c>
    </row>
    <row r="345" spans="1:10" x14ac:dyDescent="0.25">
      <c r="A345" s="1" t="s">
        <v>55</v>
      </c>
      <c r="B345" s="1" t="str">
        <f t="shared" si="10"/>
        <v>Wednesday</v>
      </c>
      <c r="C345" s="1" t="str">
        <f>TEXT(Penjualan_Dimsum[[#This Row],[Tanggal]],"mmmm")</f>
        <v>April</v>
      </c>
      <c r="D345" s="1" t="str">
        <f t="shared" si="11"/>
        <v>Weekday</v>
      </c>
      <c r="E345" t="s">
        <v>26</v>
      </c>
      <c r="F345" t="s">
        <v>9</v>
      </c>
      <c r="G345">
        <v>13</v>
      </c>
      <c r="H345">
        <v>15000</v>
      </c>
      <c r="I345">
        <v>195000</v>
      </c>
      <c r="J345" t="s">
        <v>13</v>
      </c>
    </row>
    <row r="346" spans="1:10" x14ac:dyDescent="0.25">
      <c r="A346" s="1" t="s">
        <v>69</v>
      </c>
      <c r="B346" s="1" t="str">
        <f t="shared" si="10"/>
        <v>Saturday</v>
      </c>
      <c r="C346" s="1" t="str">
        <f>TEXT(Penjualan_Dimsum[[#This Row],[Tanggal]],"mmmm")</f>
        <v>June</v>
      </c>
      <c r="D346" s="1" t="str">
        <f t="shared" si="11"/>
        <v>Weekend</v>
      </c>
      <c r="E346" t="s">
        <v>22</v>
      </c>
      <c r="F346" t="s">
        <v>9</v>
      </c>
      <c r="G346">
        <v>7</v>
      </c>
      <c r="H346">
        <v>20000</v>
      </c>
      <c r="I346">
        <v>140000</v>
      </c>
      <c r="J346" t="s">
        <v>13</v>
      </c>
    </row>
    <row r="347" spans="1:10" x14ac:dyDescent="0.25">
      <c r="A347" s="1" t="s">
        <v>92</v>
      </c>
      <c r="B347" s="1" t="str">
        <f t="shared" si="10"/>
        <v>Sunday</v>
      </c>
      <c r="C347" s="1" t="str">
        <f>TEXT(Penjualan_Dimsum[[#This Row],[Tanggal]],"mmmm")</f>
        <v>May</v>
      </c>
      <c r="D347" s="1" t="str">
        <f t="shared" si="11"/>
        <v>Weekend</v>
      </c>
      <c r="E347" t="s">
        <v>8</v>
      </c>
      <c r="F347" t="s">
        <v>9</v>
      </c>
      <c r="G347">
        <v>10</v>
      </c>
      <c r="H347">
        <v>18000</v>
      </c>
      <c r="I347">
        <v>180000</v>
      </c>
      <c r="J347" t="s">
        <v>18</v>
      </c>
    </row>
    <row r="348" spans="1:10" x14ac:dyDescent="0.25">
      <c r="A348" s="1" t="s">
        <v>37</v>
      </c>
      <c r="B348" s="1" t="str">
        <f t="shared" si="10"/>
        <v>Thursday</v>
      </c>
      <c r="C348" s="1" t="str">
        <f>TEXT(Penjualan_Dimsum[[#This Row],[Tanggal]],"mmmm")</f>
        <v>April</v>
      </c>
      <c r="D348" s="1" t="str">
        <f t="shared" si="11"/>
        <v>Weekday</v>
      </c>
      <c r="E348" t="s">
        <v>26</v>
      </c>
      <c r="F348" t="s">
        <v>9</v>
      </c>
      <c r="G348">
        <v>11</v>
      </c>
      <c r="H348">
        <v>20000</v>
      </c>
      <c r="I348">
        <v>220000</v>
      </c>
      <c r="J348" t="s">
        <v>18</v>
      </c>
    </row>
    <row r="349" spans="1:10" x14ac:dyDescent="0.25">
      <c r="A349" s="1" t="s">
        <v>86</v>
      </c>
      <c r="B349" s="1" t="str">
        <f t="shared" si="10"/>
        <v>Sunday</v>
      </c>
      <c r="C349" s="1" t="str">
        <f>TEXT(Penjualan_Dimsum[[#This Row],[Tanggal]],"mmmm")</f>
        <v>April</v>
      </c>
      <c r="D349" s="1" t="str">
        <f t="shared" si="11"/>
        <v>Weekend</v>
      </c>
      <c r="E349" t="s">
        <v>12</v>
      </c>
      <c r="F349" t="s">
        <v>9</v>
      </c>
      <c r="G349">
        <v>15</v>
      </c>
      <c r="H349">
        <v>18000</v>
      </c>
      <c r="I349">
        <v>270000</v>
      </c>
      <c r="J349" t="s">
        <v>20</v>
      </c>
    </row>
    <row r="350" spans="1:10" x14ac:dyDescent="0.25">
      <c r="A350" s="1" t="s">
        <v>105</v>
      </c>
      <c r="B350" s="1" t="str">
        <f t="shared" si="10"/>
        <v>Tuesday</v>
      </c>
      <c r="C350" s="1" t="str">
        <f>TEXT(Penjualan_Dimsum[[#This Row],[Tanggal]],"mmmm")</f>
        <v>May</v>
      </c>
      <c r="D350" s="1" t="str">
        <f t="shared" si="11"/>
        <v>Weekday</v>
      </c>
      <c r="E350" t="s">
        <v>16</v>
      </c>
      <c r="F350" t="s">
        <v>9</v>
      </c>
      <c r="G350">
        <v>16</v>
      </c>
      <c r="H350">
        <v>20000</v>
      </c>
      <c r="I350">
        <v>320000</v>
      </c>
      <c r="J350" t="s">
        <v>13</v>
      </c>
    </row>
    <row r="351" spans="1:10" x14ac:dyDescent="0.25">
      <c r="A351" s="1" t="s">
        <v>94</v>
      </c>
      <c r="B351" s="1" t="str">
        <f t="shared" si="10"/>
        <v>Saturday</v>
      </c>
      <c r="C351" s="1" t="str">
        <f>TEXT(Penjualan_Dimsum[[#This Row],[Tanggal]],"mmmm")</f>
        <v>April</v>
      </c>
      <c r="D351" s="1" t="str">
        <f t="shared" si="11"/>
        <v>Weekend</v>
      </c>
      <c r="E351" t="s">
        <v>8</v>
      </c>
      <c r="F351" t="s">
        <v>9</v>
      </c>
      <c r="G351">
        <v>3</v>
      </c>
      <c r="H351">
        <v>12000</v>
      </c>
      <c r="I351">
        <v>36000</v>
      </c>
      <c r="J351" t="s">
        <v>13</v>
      </c>
    </row>
    <row r="352" spans="1:10" x14ac:dyDescent="0.25">
      <c r="A352" s="1" t="s">
        <v>47</v>
      </c>
      <c r="B352" s="1" t="str">
        <f t="shared" si="10"/>
        <v>Friday</v>
      </c>
      <c r="C352" s="1" t="str">
        <f>TEXT(Penjualan_Dimsum[[#This Row],[Tanggal]],"mmmm")</f>
        <v>May</v>
      </c>
      <c r="D352" s="1" t="str">
        <f t="shared" si="11"/>
        <v>Weekday</v>
      </c>
      <c r="E352" t="s">
        <v>22</v>
      </c>
      <c r="F352" t="s">
        <v>9</v>
      </c>
      <c r="G352">
        <v>11</v>
      </c>
      <c r="H352">
        <v>12000</v>
      </c>
      <c r="I352">
        <v>132000</v>
      </c>
      <c r="J352" t="s">
        <v>13</v>
      </c>
    </row>
    <row r="353" spans="1:10" x14ac:dyDescent="0.25">
      <c r="A353" s="1" t="s">
        <v>96</v>
      </c>
      <c r="B353" s="1" t="str">
        <f t="shared" si="10"/>
        <v>Wednesday</v>
      </c>
      <c r="C353" s="1" t="str">
        <f>TEXT(Penjualan_Dimsum[[#This Row],[Tanggal]],"mmmm")</f>
        <v>May</v>
      </c>
      <c r="D353" s="1" t="str">
        <f t="shared" si="11"/>
        <v>Weekday</v>
      </c>
      <c r="E353" t="s">
        <v>12</v>
      </c>
      <c r="F353" t="s">
        <v>9</v>
      </c>
      <c r="G353">
        <v>3</v>
      </c>
      <c r="H353">
        <v>15000</v>
      </c>
      <c r="I353">
        <v>45000</v>
      </c>
      <c r="J353" t="s">
        <v>20</v>
      </c>
    </row>
    <row r="354" spans="1:10" x14ac:dyDescent="0.25">
      <c r="A354" s="1" t="s">
        <v>101</v>
      </c>
      <c r="B354" s="1" t="str">
        <f t="shared" si="10"/>
        <v>Wednesday</v>
      </c>
      <c r="C354" s="1" t="str">
        <f>TEXT(Penjualan_Dimsum[[#This Row],[Tanggal]],"mmmm")</f>
        <v>April</v>
      </c>
      <c r="D354" s="1" t="str">
        <f t="shared" si="11"/>
        <v>Weekday</v>
      </c>
      <c r="E354" t="s">
        <v>8</v>
      </c>
      <c r="F354" t="s">
        <v>9</v>
      </c>
      <c r="G354">
        <v>16</v>
      </c>
      <c r="H354">
        <v>20000</v>
      </c>
      <c r="I354">
        <v>320000</v>
      </c>
      <c r="J354" t="s">
        <v>20</v>
      </c>
    </row>
    <row r="355" spans="1:10" x14ac:dyDescent="0.25">
      <c r="A355" s="1" t="s">
        <v>35</v>
      </c>
      <c r="B355" s="1" t="str">
        <f t="shared" si="10"/>
        <v>Saturday</v>
      </c>
      <c r="C355" s="1" t="str">
        <f>TEXT(Penjualan_Dimsum[[#This Row],[Tanggal]],"mmmm")</f>
        <v>June</v>
      </c>
      <c r="D355" s="1" t="str">
        <f t="shared" si="11"/>
        <v>Weekend</v>
      </c>
      <c r="E355" t="s">
        <v>16</v>
      </c>
      <c r="F355" t="s">
        <v>9</v>
      </c>
      <c r="G355">
        <v>11</v>
      </c>
      <c r="H355">
        <v>12000</v>
      </c>
      <c r="I355">
        <v>132000</v>
      </c>
      <c r="J355" t="s">
        <v>10</v>
      </c>
    </row>
    <row r="356" spans="1:10" x14ac:dyDescent="0.25">
      <c r="A356" s="1" t="s">
        <v>54</v>
      </c>
      <c r="B356" s="1" t="str">
        <f t="shared" si="10"/>
        <v>Sunday</v>
      </c>
      <c r="C356" s="1" t="str">
        <f>TEXT(Penjualan_Dimsum[[#This Row],[Tanggal]],"mmmm")</f>
        <v>June</v>
      </c>
      <c r="D356" s="1" t="str">
        <f t="shared" si="11"/>
        <v>Weekend</v>
      </c>
      <c r="E356" t="s">
        <v>12</v>
      </c>
      <c r="F356" t="s">
        <v>9</v>
      </c>
      <c r="G356">
        <v>6</v>
      </c>
      <c r="H356">
        <v>12000</v>
      </c>
      <c r="I356">
        <v>72000</v>
      </c>
      <c r="J356" t="s">
        <v>13</v>
      </c>
    </row>
    <row r="357" spans="1:10" x14ac:dyDescent="0.25">
      <c r="A357" s="1" t="s">
        <v>23</v>
      </c>
      <c r="B357" s="1" t="str">
        <f t="shared" si="10"/>
        <v>Friday</v>
      </c>
      <c r="C357" s="1" t="str">
        <f>TEXT(Penjualan_Dimsum[[#This Row],[Tanggal]],"mmmm")</f>
        <v>June</v>
      </c>
      <c r="D357" s="1" t="str">
        <f t="shared" si="11"/>
        <v>Weekday</v>
      </c>
      <c r="E357" t="s">
        <v>16</v>
      </c>
      <c r="F357" t="s">
        <v>9</v>
      </c>
      <c r="G357">
        <v>6</v>
      </c>
      <c r="H357">
        <v>20000</v>
      </c>
      <c r="I357">
        <v>120000</v>
      </c>
      <c r="J357" t="s">
        <v>10</v>
      </c>
    </row>
    <row r="358" spans="1:10" x14ac:dyDescent="0.25">
      <c r="A358" s="1" t="s">
        <v>55</v>
      </c>
      <c r="B358" s="1" t="str">
        <f t="shared" si="10"/>
        <v>Wednesday</v>
      </c>
      <c r="C358" s="1" t="str">
        <f>TEXT(Penjualan_Dimsum[[#This Row],[Tanggal]],"mmmm")</f>
        <v>April</v>
      </c>
      <c r="D358" s="1" t="str">
        <f t="shared" si="11"/>
        <v>Weekday</v>
      </c>
      <c r="E358" t="s">
        <v>12</v>
      </c>
      <c r="F358" t="s">
        <v>9</v>
      </c>
      <c r="G358">
        <v>16</v>
      </c>
      <c r="H358">
        <v>18000</v>
      </c>
      <c r="I358">
        <v>288000</v>
      </c>
      <c r="J358" t="s">
        <v>20</v>
      </c>
    </row>
    <row r="359" spans="1:10" x14ac:dyDescent="0.25">
      <c r="A359" s="1" t="s">
        <v>50</v>
      </c>
      <c r="B359" s="1" t="str">
        <f t="shared" si="10"/>
        <v>Tuesday</v>
      </c>
      <c r="C359" s="1" t="str">
        <f>TEXT(Penjualan_Dimsum[[#This Row],[Tanggal]],"mmmm")</f>
        <v>April</v>
      </c>
      <c r="D359" s="1" t="str">
        <f t="shared" si="11"/>
        <v>Weekday</v>
      </c>
      <c r="E359" t="s">
        <v>22</v>
      </c>
      <c r="F359" t="s">
        <v>9</v>
      </c>
      <c r="G359">
        <v>7</v>
      </c>
      <c r="H359">
        <v>18000</v>
      </c>
      <c r="I359">
        <v>126000</v>
      </c>
      <c r="J359" t="s">
        <v>10</v>
      </c>
    </row>
    <row r="360" spans="1:10" x14ac:dyDescent="0.25">
      <c r="A360" s="1" t="s">
        <v>42</v>
      </c>
      <c r="B360" s="1" t="str">
        <f t="shared" si="10"/>
        <v>Saturday</v>
      </c>
      <c r="C360" s="1" t="str">
        <f>TEXT(Penjualan_Dimsum[[#This Row],[Tanggal]],"mmmm")</f>
        <v>May</v>
      </c>
      <c r="D360" s="1" t="str">
        <f t="shared" si="11"/>
        <v>Weekend</v>
      </c>
      <c r="E360" t="s">
        <v>8</v>
      </c>
      <c r="F360" t="s">
        <v>9</v>
      </c>
      <c r="G360">
        <v>15</v>
      </c>
      <c r="H360">
        <v>12000</v>
      </c>
      <c r="I360">
        <v>180000</v>
      </c>
      <c r="J360" t="s">
        <v>20</v>
      </c>
    </row>
    <row r="361" spans="1:10" x14ac:dyDescent="0.25">
      <c r="A361" s="1" t="s">
        <v>65</v>
      </c>
      <c r="B361" s="1" t="str">
        <f t="shared" si="10"/>
        <v>Sunday</v>
      </c>
      <c r="C361" s="1" t="str">
        <f>TEXT(Penjualan_Dimsum[[#This Row],[Tanggal]],"mmmm")</f>
        <v>May</v>
      </c>
      <c r="D361" s="1" t="str">
        <f t="shared" si="11"/>
        <v>Weekend</v>
      </c>
      <c r="E361" t="s">
        <v>16</v>
      </c>
      <c r="F361" t="s">
        <v>9</v>
      </c>
      <c r="G361">
        <v>14</v>
      </c>
      <c r="H361">
        <v>20000</v>
      </c>
      <c r="I361">
        <v>280000</v>
      </c>
      <c r="J361" t="s">
        <v>18</v>
      </c>
    </row>
    <row r="362" spans="1:10" x14ac:dyDescent="0.25">
      <c r="A362" s="1" t="s">
        <v>17</v>
      </c>
      <c r="B362" s="1" t="str">
        <f t="shared" si="10"/>
        <v>Wednesday</v>
      </c>
      <c r="C362" s="1" t="str">
        <f>TEXT(Penjualan_Dimsum[[#This Row],[Tanggal]],"mmmm")</f>
        <v>May</v>
      </c>
      <c r="D362" s="1" t="str">
        <f t="shared" si="11"/>
        <v>Weekday</v>
      </c>
      <c r="E362" t="s">
        <v>26</v>
      </c>
      <c r="F362" t="s">
        <v>9</v>
      </c>
      <c r="G362">
        <v>18</v>
      </c>
      <c r="H362">
        <v>15000</v>
      </c>
      <c r="I362">
        <v>270000</v>
      </c>
      <c r="J362" t="s">
        <v>20</v>
      </c>
    </row>
    <row r="363" spans="1:10" x14ac:dyDescent="0.25">
      <c r="A363" s="1" t="s">
        <v>79</v>
      </c>
      <c r="B363" s="1" t="str">
        <f t="shared" si="10"/>
        <v>Monday</v>
      </c>
      <c r="C363" s="1" t="str">
        <f>TEXT(Penjualan_Dimsum[[#This Row],[Tanggal]],"mmmm")</f>
        <v>May</v>
      </c>
      <c r="D363" s="1" t="str">
        <f t="shared" si="11"/>
        <v>Weekday</v>
      </c>
      <c r="E363" t="s">
        <v>16</v>
      </c>
      <c r="F363" t="s">
        <v>9</v>
      </c>
      <c r="G363">
        <v>4</v>
      </c>
      <c r="H363">
        <v>12000</v>
      </c>
      <c r="I363">
        <v>48000</v>
      </c>
      <c r="J363" t="s">
        <v>13</v>
      </c>
    </row>
    <row r="364" spans="1:10" x14ac:dyDescent="0.25">
      <c r="A364" s="1" t="s">
        <v>34</v>
      </c>
      <c r="B364" s="1" t="str">
        <f t="shared" si="10"/>
        <v>Wednesday</v>
      </c>
      <c r="C364" s="1" t="str">
        <f>TEXT(Penjualan_Dimsum[[#This Row],[Tanggal]],"mmmm")</f>
        <v>June</v>
      </c>
      <c r="D364" s="1" t="str">
        <f t="shared" si="11"/>
        <v>Weekday</v>
      </c>
      <c r="E364" t="s">
        <v>8</v>
      </c>
      <c r="F364" t="s">
        <v>9</v>
      </c>
      <c r="G364">
        <v>12</v>
      </c>
      <c r="H364">
        <v>15000</v>
      </c>
      <c r="I364">
        <v>180000</v>
      </c>
      <c r="J364" t="s">
        <v>18</v>
      </c>
    </row>
    <row r="365" spans="1:10" x14ac:dyDescent="0.25">
      <c r="A365" s="1" t="s">
        <v>68</v>
      </c>
      <c r="B365" s="1" t="str">
        <f t="shared" si="10"/>
        <v>Monday</v>
      </c>
      <c r="C365" s="1" t="str">
        <f>TEXT(Penjualan_Dimsum[[#This Row],[Tanggal]],"mmmm")</f>
        <v>June</v>
      </c>
      <c r="D365" s="1" t="str">
        <f t="shared" si="11"/>
        <v>Weekday</v>
      </c>
      <c r="E365" t="s">
        <v>22</v>
      </c>
      <c r="F365" t="s">
        <v>9</v>
      </c>
      <c r="G365">
        <v>5</v>
      </c>
      <c r="H365">
        <v>15000</v>
      </c>
      <c r="I365">
        <v>75000</v>
      </c>
      <c r="J365" t="s">
        <v>13</v>
      </c>
    </row>
    <row r="366" spans="1:10" x14ac:dyDescent="0.25">
      <c r="A366" s="1" t="s">
        <v>39</v>
      </c>
      <c r="B366" s="1" t="str">
        <f t="shared" si="10"/>
        <v>Thursday</v>
      </c>
      <c r="C366" s="1" t="str">
        <f>TEXT(Penjualan_Dimsum[[#This Row],[Tanggal]],"mmmm")</f>
        <v>April</v>
      </c>
      <c r="D366" s="1" t="str">
        <f t="shared" si="11"/>
        <v>Weekday</v>
      </c>
      <c r="E366" t="s">
        <v>8</v>
      </c>
      <c r="F366" t="s">
        <v>9</v>
      </c>
      <c r="G366">
        <v>9</v>
      </c>
      <c r="H366">
        <v>20000</v>
      </c>
      <c r="I366">
        <v>180000</v>
      </c>
      <c r="J366" t="s">
        <v>20</v>
      </c>
    </row>
    <row r="367" spans="1:10" x14ac:dyDescent="0.25">
      <c r="A367" s="1" t="s">
        <v>62</v>
      </c>
      <c r="B367" s="1" t="str">
        <f t="shared" si="10"/>
        <v>Wednesday</v>
      </c>
      <c r="C367" s="1" t="str">
        <f>TEXT(Penjualan_Dimsum[[#This Row],[Tanggal]],"mmmm")</f>
        <v>June</v>
      </c>
      <c r="D367" s="1" t="str">
        <f t="shared" si="11"/>
        <v>Weekday</v>
      </c>
      <c r="E367" t="s">
        <v>8</v>
      </c>
      <c r="F367" t="s">
        <v>9</v>
      </c>
      <c r="G367">
        <v>3</v>
      </c>
      <c r="H367">
        <v>12000</v>
      </c>
      <c r="I367">
        <v>36000</v>
      </c>
      <c r="J367" t="s">
        <v>13</v>
      </c>
    </row>
    <row r="368" spans="1:10" x14ac:dyDescent="0.25">
      <c r="A368" s="1" t="s">
        <v>30</v>
      </c>
      <c r="B368" s="1" t="str">
        <f t="shared" si="10"/>
        <v>Friday</v>
      </c>
      <c r="C368" s="1" t="str">
        <f>TEXT(Penjualan_Dimsum[[#This Row],[Tanggal]],"mmmm")</f>
        <v>April</v>
      </c>
      <c r="D368" s="1" t="str">
        <f t="shared" si="11"/>
        <v>Weekday</v>
      </c>
      <c r="E368" t="s">
        <v>8</v>
      </c>
      <c r="F368" t="s">
        <v>9</v>
      </c>
      <c r="G368">
        <v>3</v>
      </c>
      <c r="H368">
        <v>15000</v>
      </c>
      <c r="I368">
        <v>45000</v>
      </c>
      <c r="J368" t="s">
        <v>20</v>
      </c>
    </row>
    <row r="369" spans="1:10" x14ac:dyDescent="0.25">
      <c r="A369" s="1" t="s">
        <v>60</v>
      </c>
      <c r="B369" s="1" t="str">
        <f t="shared" si="10"/>
        <v>Saturday</v>
      </c>
      <c r="C369" s="1" t="str">
        <f>TEXT(Penjualan_Dimsum[[#This Row],[Tanggal]],"mmmm")</f>
        <v>April</v>
      </c>
      <c r="D369" s="1" t="str">
        <f t="shared" si="11"/>
        <v>Weekend</v>
      </c>
      <c r="E369" t="s">
        <v>26</v>
      </c>
      <c r="F369" t="s">
        <v>9</v>
      </c>
      <c r="G369">
        <v>17</v>
      </c>
      <c r="H369">
        <v>15000</v>
      </c>
      <c r="I369">
        <v>255000</v>
      </c>
      <c r="J369" t="s">
        <v>18</v>
      </c>
    </row>
    <row r="370" spans="1:10" x14ac:dyDescent="0.25">
      <c r="A370" s="1" t="s">
        <v>52</v>
      </c>
      <c r="B370" s="1" t="str">
        <f t="shared" si="10"/>
        <v>Wednesday</v>
      </c>
      <c r="C370" s="1" t="str">
        <f>TEXT(Penjualan_Dimsum[[#This Row],[Tanggal]],"mmmm")</f>
        <v>June</v>
      </c>
      <c r="D370" s="1" t="str">
        <f t="shared" si="11"/>
        <v>Weekday</v>
      </c>
      <c r="E370" t="s">
        <v>12</v>
      </c>
      <c r="F370" t="s">
        <v>9</v>
      </c>
      <c r="G370">
        <v>12</v>
      </c>
      <c r="H370">
        <v>20000</v>
      </c>
      <c r="I370">
        <v>240000</v>
      </c>
      <c r="J370" t="s">
        <v>20</v>
      </c>
    </row>
    <row r="371" spans="1:10" x14ac:dyDescent="0.25">
      <c r="A371" s="1" t="s">
        <v>66</v>
      </c>
      <c r="B371" s="1" t="str">
        <f t="shared" si="10"/>
        <v>Tuesday</v>
      </c>
      <c r="C371" s="1" t="str">
        <f>TEXT(Penjualan_Dimsum[[#This Row],[Tanggal]],"mmmm")</f>
        <v>April</v>
      </c>
      <c r="D371" s="1" t="str">
        <f t="shared" si="11"/>
        <v>Weekday</v>
      </c>
      <c r="E371" t="s">
        <v>26</v>
      </c>
      <c r="F371" t="s">
        <v>9</v>
      </c>
      <c r="G371">
        <v>5</v>
      </c>
      <c r="H371">
        <v>12000</v>
      </c>
      <c r="I371">
        <v>60000</v>
      </c>
      <c r="J371" t="s">
        <v>18</v>
      </c>
    </row>
    <row r="372" spans="1:10" x14ac:dyDescent="0.25">
      <c r="A372" s="1" t="s">
        <v>89</v>
      </c>
      <c r="B372" s="1" t="str">
        <f t="shared" si="10"/>
        <v>Saturday</v>
      </c>
      <c r="C372" s="1" t="str">
        <f>TEXT(Penjualan_Dimsum[[#This Row],[Tanggal]],"mmmm")</f>
        <v>June</v>
      </c>
      <c r="D372" s="1" t="str">
        <f t="shared" si="11"/>
        <v>Weekend</v>
      </c>
      <c r="E372" t="s">
        <v>8</v>
      </c>
      <c r="F372" t="s">
        <v>9</v>
      </c>
      <c r="G372">
        <v>7</v>
      </c>
      <c r="H372">
        <v>12000</v>
      </c>
      <c r="I372">
        <v>84000</v>
      </c>
      <c r="J372" t="s">
        <v>10</v>
      </c>
    </row>
    <row r="373" spans="1:10" x14ac:dyDescent="0.25">
      <c r="A373" s="1" t="s">
        <v>48</v>
      </c>
      <c r="B373" s="1" t="str">
        <f t="shared" si="10"/>
        <v>Tuesday</v>
      </c>
      <c r="C373" s="1" t="str">
        <f>TEXT(Penjualan_Dimsum[[#This Row],[Tanggal]],"mmmm")</f>
        <v>April</v>
      </c>
      <c r="D373" s="1" t="str">
        <f t="shared" si="11"/>
        <v>Weekday</v>
      </c>
      <c r="E373" t="s">
        <v>16</v>
      </c>
      <c r="F373" t="s">
        <v>9</v>
      </c>
      <c r="G373">
        <v>20</v>
      </c>
      <c r="H373">
        <v>15000</v>
      </c>
      <c r="I373">
        <v>300000</v>
      </c>
      <c r="J373" t="s">
        <v>13</v>
      </c>
    </row>
    <row r="374" spans="1:10" x14ac:dyDescent="0.25">
      <c r="A374" s="1" t="s">
        <v>53</v>
      </c>
      <c r="B374" s="1" t="str">
        <f t="shared" si="10"/>
        <v>Saturday</v>
      </c>
      <c r="C374" s="1" t="str">
        <f>TEXT(Penjualan_Dimsum[[#This Row],[Tanggal]],"mmmm")</f>
        <v>April</v>
      </c>
      <c r="D374" s="1" t="str">
        <f t="shared" si="11"/>
        <v>Weekend</v>
      </c>
      <c r="E374" t="s">
        <v>22</v>
      </c>
      <c r="F374" t="s">
        <v>9</v>
      </c>
      <c r="G374">
        <v>5</v>
      </c>
      <c r="H374">
        <v>12000</v>
      </c>
      <c r="I374">
        <v>60000</v>
      </c>
      <c r="J374" t="s">
        <v>13</v>
      </c>
    </row>
    <row r="375" spans="1:10" x14ac:dyDescent="0.25">
      <c r="A375" s="1" t="s">
        <v>40</v>
      </c>
      <c r="B375" s="1" t="str">
        <f t="shared" si="10"/>
        <v>Thursday</v>
      </c>
      <c r="C375" s="1" t="str">
        <f>TEXT(Penjualan_Dimsum[[#This Row],[Tanggal]],"mmmm")</f>
        <v>June</v>
      </c>
      <c r="D375" s="1" t="str">
        <f t="shared" si="11"/>
        <v>Weekday</v>
      </c>
      <c r="E375" t="s">
        <v>12</v>
      </c>
      <c r="F375" t="s">
        <v>9</v>
      </c>
      <c r="G375">
        <v>4</v>
      </c>
      <c r="H375">
        <v>18000</v>
      </c>
      <c r="I375">
        <v>72000</v>
      </c>
      <c r="J375" t="s">
        <v>13</v>
      </c>
    </row>
    <row r="376" spans="1:10" x14ac:dyDescent="0.25">
      <c r="A376" s="1" t="s">
        <v>64</v>
      </c>
      <c r="B376" s="1" t="str">
        <f t="shared" si="10"/>
        <v>Friday</v>
      </c>
      <c r="C376" s="1" t="str">
        <f>TEXT(Penjualan_Dimsum[[#This Row],[Tanggal]],"mmmm")</f>
        <v>May</v>
      </c>
      <c r="D376" s="1" t="str">
        <f t="shared" si="11"/>
        <v>Weekday</v>
      </c>
      <c r="E376" t="s">
        <v>12</v>
      </c>
      <c r="F376" t="s">
        <v>9</v>
      </c>
      <c r="G376">
        <v>7</v>
      </c>
      <c r="H376">
        <v>18000</v>
      </c>
      <c r="I376">
        <v>126000</v>
      </c>
      <c r="J376" t="s">
        <v>13</v>
      </c>
    </row>
    <row r="377" spans="1:10" x14ac:dyDescent="0.25">
      <c r="A377" s="1" t="s">
        <v>60</v>
      </c>
      <c r="B377" s="1" t="str">
        <f t="shared" si="10"/>
        <v>Saturday</v>
      </c>
      <c r="C377" s="1" t="str">
        <f>TEXT(Penjualan_Dimsum[[#This Row],[Tanggal]],"mmmm")</f>
        <v>April</v>
      </c>
      <c r="D377" s="1" t="str">
        <f t="shared" si="11"/>
        <v>Weekend</v>
      </c>
      <c r="E377" t="s">
        <v>26</v>
      </c>
      <c r="F377" t="s">
        <v>9</v>
      </c>
      <c r="G377">
        <v>1</v>
      </c>
      <c r="H377">
        <v>15000</v>
      </c>
      <c r="I377">
        <v>15000</v>
      </c>
      <c r="J377" t="s">
        <v>18</v>
      </c>
    </row>
    <row r="378" spans="1:10" x14ac:dyDescent="0.25">
      <c r="A378" s="1" t="s">
        <v>36</v>
      </c>
      <c r="B378" s="1" t="str">
        <f t="shared" si="10"/>
        <v>Sunday</v>
      </c>
      <c r="C378" s="1" t="str">
        <f>TEXT(Penjualan_Dimsum[[#This Row],[Tanggal]],"mmmm")</f>
        <v>June</v>
      </c>
      <c r="D378" s="1" t="str">
        <f t="shared" si="11"/>
        <v>Weekend</v>
      </c>
      <c r="E378" t="s">
        <v>16</v>
      </c>
      <c r="F378" t="s">
        <v>9</v>
      </c>
      <c r="G378">
        <v>9</v>
      </c>
      <c r="H378">
        <v>15000</v>
      </c>
      <c r="I378">
        <v>135000</v>
      </c>
      <c r="J378" t="s">
        <v>20</v>
      </c>
    </row>
    <row r="379" spans="1:10" x14ac:dyDescent="0.25">
      <c r="A379" s="1" t="s">
        <v>82</v>
      </c>
      <c r="B379" s="1" t="str">
        <f t="shared" si="10"/>
        <v>Sunday</v>
      </c>
      <c r="C379" s="1" t="str">
        <f>TEXT(Penjualan_Dimsum[[#This Row],[Tanggal]],"mmmm")</f>
        <v>June</v>
      </c>
      <c r="D379" s="1" t="str">
        <f t="shared" si="11"/>
        <v>Weekend</v>
      </c>
      <c r="E379" t="s">
        <v>12</v>
      </c>
      <c r="F379" t="s">
        <v>9</v>
      </c>
      <c r="G379">
        <v>1</v>
      </c>
      <c r="H379">
        <v>20000</v>
      </c>
      <c r="I379">
        <v>20000</v>
      </c>
      <c r="J379" t="s">
        <v>18</v>
      </c>
    </row>
    <row r="380" spans="1:10" x14ac:dyDescent="0.25">
      <c r="A380" s="1" t="s">
        <v>83</v>
      </c>
      <c r="B380" s="1" t="str">
        <f t="shared" si="10"/>
        <v>Sunday</v>
      </c>
      <c r="C380" s="1" t="str">
        <f>TEXT(Penjualan_Dimsum[[#This Row],[Tanggal]],"mmmm")</f>
        <v>June</v>
      </c>
      <c r="D380" s="1" t="str">
        <f t="shared" si="11"/>
        <v>Weekend</v>
      </c>
      <c r="E380" t="s">
        <v>8</v>
      </c>
      <c r="F380" t="s">
        <v>9</v>
      </c>
      <c r="G380">
        <v>5</v>
      </c>
      <c r="H380">
        <v>12000</v>
      </c>
      <c r="I380">
        <v>60000</v>
      </c>
      <c r="J380" t="s">
        <v>18</v>
      </c>
    </row>
    <row r="381" spans="1:10" x14ac:dyDescent="0.25">
      <c r="A381" s="1" t="s">
        <v>106</v>
      </c>
      <c r="B381" s="1" t="str">
        <f t="shared" si="10"/>
        <v>Monday</v>
      </c>
      <c r="C381" s="1" t="str">
        <f>TEXT(Penjualan_Dimsum[[#This Row],[Tanggal]],"mmmm")</f>
        <v>April</v>
      </c>
      <c r="D381" s="1" t="str">
        <f t="shared" si="11"/>
        <v>Weekday</v>
      </c>
      <c r="E381" t="s">
        <v>22</v>
      </c>
      <c r="F381" t="s">
        <v>9</v>
      </c>
      <c r="G381">
        <v>11</v>
      </c>
      <c r="H381">
        <v>20000</v>
      </c>
      <c r="I381">
        <v>220000</v>
      </c>
      <c r="J381" t="s">
        <v>13</v>
      </c>
    </row>
    <row r="382" spans="1:10" x14ac:dyDescent="0.25">
      <c r="A382" s="1" t="s">
        <v>104</v>
      </c>
      <c r="B382" s="1" t="str">
        <f t="shared" si="10"/>
        <v>Wednesday</v>
      </c>
      <c r="C382" s="1" t="str">
        <f>TEXT(Penjualan_Dimsum[[#This Row],[Tanggal]],"mmmm")</f>
        <v>April</v>
      </c>
      <c r="D382" s="1" t="str">
        <f t="shared" si="11"/>
        <v>Weekday</v>
      </c>
      <c r="E382" t="s">
        <v>12</v>
      </c>
      <c r="F382" t="s">
        <v>9</v>
      </c>
      <c r="G382">
        <v>19</v>
      </c>
      <c r="H382">
        <v>20000</v>
      </c>
      <c r="I382">
        <v>380000</v>
      </c>
      <c r="J382" t="s">
        <v>13</v>
      </c>
    </row>
    <row r="383" spans="1:10" x14ac:dyDescent="0.25">
      <c r="A383" s="1" t="s">
        <v>36</v>
      </c>
      <c r="B383" s="1" t="str">
        <f t="shared" si="10"/>
        <v>Sunday</v>
      </c>
      <c r="C383" s="1" t="str">
        <f>TEXT(Penjualan_Dimsum[[#This Row],[Tanggal]],"mmmm")</f>
        <v>June</v>
      </c>
      <c r="D383" s="1" t="str">
        <f t="shared" si="11"/>
        <v>Weekend</v>
      </c>
      <c r="E383" t="s">
        <v>8</v>
      </c>
      <c r="F383" t="s">
        <v>9</v>
      </c>
      <c r="G383">
        <v>13</v>
      </c>
      <c r="H383">
        <v>12000</v>
      </c>
      <c r="I383">
        <v>156000</v>
      </c>
      <c r="J383" t="s">
        <v>13</v>
      </c>
    </row>
    <row r="384" spans="1:10" x14ac:dyDescent="0.25">
      <c r="A384" s="1" t="s">
        <v>38</v>
      </c>
      <c r="B384" s="1" t="str">
        <f t="shared" si="10"/>
        <v>Thursday</v>
      </c>
      <c r="C384" s="1" t="str">
        <f>TEXT(Penjualan_Dimsum[[#This Row],[Tanggal]],"mmmm")</f>
        <v>May</v>
      </c>
      <c r="D384" s="1" t="str">
        <f t="shared" si="11"/>
        <v>Weekday</v>
      </c>
      <c r="E384" t="s">
        <v>16</v>
      </c>
      <c r="F384" t="s">
        <v>9</v>
      </c>
      <c r="G384">
        <v>8</v>
      </c>
      <c r="H384">
        <v>15000</v>
      </c>
      <c r="I384">
        <v>120000</v>
      </c>
      <c r="J384" t="s">
        <v>10</v>
      </c>
    </row>
    <row r="385" spans="1:10" x14ac:dyDescent="0.25">
      <c r="A385" s="1" t="s">
        <v>47</v>
      </c>
      <c r="B385" s="1" t="str">
        <f t="shared" si="10"/>
        <v>Friday</v>
      </c>
      <c r="C385" s="1" t="str">
        <f>TEXT(Penjualan_Dimsum[[#This Row],[Tanggal]],"mmmm")</f>
        <v>May</v>
      </c>
      <c r="D385" s="1" t="str">
        <f t="shared" si="11"/>
        <v>Weekday</v>
      </c>
      <c r="E385" t="s">
        <v>26</v>
      </c>
      <c r="F385" t="s">
        <v>9</v>
      </c>
      <c r="G385">
        <v>8</v>
      </c>
      <c r="H385">
        <v>18000</v>
      </c>
      <c r="I385">
        <v>144000</v>
      </c>
      <c r="J385" t="s">
        <v>10</v>
      </c>
    </row>
    <row r="386" spans="1:10" x14ac:dyDescent="0.25">
      <c r="A386" s="1" t="s">
        <v>24</v>
      </c>
      <c r="B386" s="1" t="str">
        <f t="shared" si="10"/>
        <v>Wednesday</v>
      </c>
      <c r="C386" s="1" t="str">
        <f>TEXT(Penjualan_Dimsum[[#This Row],[Tanggal]],"mmmm")</f>
        <v>June</v>
      </c>
      <c r="D386" s="1" t="str">
        <f t="shared" si="11"/>
        <v>Weekday</v>
      </c>
      <c r="E386" t="s">
        <v>26</v>
      </c>
      <c r="F386" t="s">
        <v>9</v>
      </c>
      <c r="G386">
        <v>16</v>
      </c>
      <c r="H386">
        <v>15000</v>
      </c>
      <c r="I386">
        <v>240000</v>
      </c>
      <c r="J386" t="s">
        <v>20</v>
      </c>
    </row>
    <row r="387" spans="1:10" x14ac:dyDescent="0.25">
      <c r="A387" s="1" t="s">
        <v>87</v>
      </c>
      <c r="B387" s="1" t="str">
        <f t="shared" ref="B387:B450" si="12">TEXT(A387,"DDDD")</f>
        <v>Saturday</v>
      </c>
      <c r="C387" s="1" t="str">
        <f>TEXT(Penjualan_Dimsum[[#This Row],[Tanggal]],"mmmm")</f>
        <v>May</v>
      </c>
      <c r="D387" s="1" t="str">
        <f t="shared" ref="D387:D450" si="13">IF(OR(B387="Saturday",B387="Sunday"),"Weekend","Weekday")</f>
        <v>Weekend</v>
      </c>
      <c r="E387" t="s">
        <v>26</v>
      </c>
      <c r="F387" t="s">
        <v>9</v>
      </c>
      <c r="G387">
        <v>6</v>
      </c>
      <c r="H387">
        <v>15000</v>
      </c>
      <c r="I387">
        <v>90000</v>
      </c>
      <c r="J387" t="s">
        <v>18</v>
      </c>
    </row>
    <row r="388" spans="1:10" x14ac:dyDescent="0.25">
      <c r="A388" s="1" t="s">
        <v>58</v>
      </c>
      <c r="B388" s="1" t="str">
        <f t="shared" si="12"/>
        <v>Monday</v>
      </c>
      <c r="C388" s="1" t="str">
        <f>TEXT(Penjualan_Dimsum[[#This Row],[Tanggal]],"mmmm")</f>
        <v>April</v>
      </c>
      <c r="D388" s="1" t="str">
        <f t="shared" si="13"/>
        <v>Weekday</v>
      </c>
      <c r="E388" t="s">
        <v>12</v>
      </c>
      <c r="F388" t="s">
        <v>9</v>
      </c>
      <c r="G388">
        <v>4</v>
      </c>
      <c r="H388">
        <v>15000</v>
      </c>
      <c r="I388">
        <v>60000</v>
      </c>
      <c r="J388" t="s">
        <v>20</v>
      </c>
    </row>
    <row r="389" spans="1:10" x14ac:dyDescent="0.25">
      <c r="A389" s="1" t="s">
        <v>19</v>
      </c>
      <c r="B389" s="1" t="str">
        <f t="shared" si="12"/>
        <v>Tuesday</v>
      </c>
      <c r="C389" s="1" t="str">
        <f>TEXT(Penjualan_Dimsum[[#This Row],[Tanggal]],"mmmm")</f>
        <v>June</v>
      </c>
      <c r="D389" s="1" t="str">
        <f t="shared" si="13"/>
        <v>Weekday</v>
      </c>
      <c r="E389" t="s">
        <v>12</v>
      </c>
      <c r="F389" t="s">
        <v>9</v>
      </c>
      <c r="G389">
        <v>19</v>
      </c>
      <c r="H389">
        <v>15000</v>
      </c>
      <c r="I389">
        <v>285000</v>
      </c>
      <c r="J389" t="s">
        <v>18</v>
      </c>
    </row>
    <row r="390" spans="1:10" x14ac:dyDescent="0.25">
      <c r="A390" s="1" t="s">
        <v>61</v>
      </c>
      <c r="B390" s="1" t="str">
        <f t="shared" si="12"/>
        <v>Wednesday</v>
      </c>
      <c r="C390" s="1" t="str">
        <f>TEXT(Penjualan_Dimsum[[#This Row],[Tanggal]],"mmmm")</f>
        <v>May</v>
      </c>
      <c r="D390" s="1" t="str">
        <f t="shared" si="13"/>
        <v>Weekday</v>
      </c>
      <c r="E390" t="s">
        <v>16</v>
      </c>
      <c r="F390" t="s">
        <v>9</v>
      </c>
      <c r="G390">
        <v>10</v>
      </c>
      <c r="H390">
        <v>12000</v>
      </c>
      <c r="I390">
        <v>120000</v>
      </c>
      <c r="J390" t="s">
        <v>18</v>
      </c>
    </row>
    <row r="391" spans="1:10" x14ac:dyDescent="0.25">
      <c r="A391" s="1" t="s">
        <v>69</v>
      </c>
      <c r="B391" s="1" t="str">
        <f t="shared" si="12"/>
        <v>Saturday</v>
      </c>
      <c r="C391" s="1" t="str">
        <f>TEXT(Penjualan_Dimsum[[#This Row],[Tanggal]],"mmmm")</f>
        <v>June</v>
      </c>
      <c r="D391" s="1" t="str">
        <f t="shared" si="13"/>
        <v>Weekend</v>
      </c>
      <c r="E391" t="s">
        <v>16</v>
      </c>
      <c r="F391" t="s">
        <v>9</v>
      </c>
      <c r="G391">
        <v>2</v>
      </c>
      <c r="H391">
        <v>15000</v>
      </c>
      <c r="I391">
        <v>30000</v>
      </c>
      <c r="J391" t="s">
        <v>13</v>
      </c>
    </row>
    <row r="392" spans="1:10" x14ac:dyDescent="0.25">
      <c r="A392" s="1" t="s">
        <v>95</v>
      </c>
      <c r="B392" s="1" t="str">
        <f t="shared" si="12"/>
        <v>Thursday</v>
      </c>
      <c r="C392" s="1" t="str">
        <f>TEXT(Penjualan_Dimsum[[#This Row],[Tanggal]],"mmmm")</f>
        <v>June</v>
      </c>
      <c r="D392" s="1" t="str">
        <f t="shared" si="13"/>
        <v>Weekday</v>
      </c>
      <c r="E392" t="s">
        <v>16</v>
      </c>
      <c r="F392" t="s">
        <v>9</v>
      </c>
      <c r="G392">
        <v>3</v>
      </c>
      <c r="H392">
        <v>20000</v>
      </c>
      <c r="I392">
        <v>60000</v>
      </c>
      <c r="J392" t="s">
        <v>20</v>
      </c>
    </row>
    <row r="393" spans="1:10" x14ac:dyDescent="0.25">
      <c r="A393" s="1" t="s">
        <v>42</v>
      </c>
      <c r="B393" s="1" t="str">
        <f t="shared" si="12"/>
        <v>Saturday</v>
      </c>
      <c r="C393" s="1" t="str">
        <f>TEXT(Penjualan_Dimsum[[#This Row],[Tanggal]],"mmmm")</f>
        <v>May</v>
      </c>
      <c r="D393" s="1" t="str">
        <f t="shared" si="13"/>
        <v>Weekend</v>
      </c>
      <c r="E393" t="s">
        <v>12</v>
      </c>
      <c r="F393" t="s">
        <v>9</v>
      </c>
      <c r="G393">
        <v>10</v>
      </c>
      <c r="H393">
        <v>12000</v>
      </c>
      <c r="I393">
        <v>120000</v>
      </c>
      <c r="J393" t="s">
        <v>10</v>
      </c>
    </row>
    <row r="394" spans="1:10" x14ac:dyDescent="0.25">
      <c r="A394" s="1" t="s">
        <v>23</v>
      </c>
      <c r="B394" s="1" t="str">
        <f t="shared" si="12"/>
        <v>Friday</v>
      </c>
      <c r="C394" s="1" t="str">
        <f>TEXT(Penjualan_Dimsum[[#This Row],[Tanggal]],"mmmm")</f>
        <v>June</v>
      </c>
      <c r="D394" s="1" t="str">
        <f t="shared" si="13"/>
        <v>Weekday</v>
      </c>
      <c r="E394" t="s">
        <v>22</v>
      </c>
      <c r="F394" t="s">
        <v>9</v>
      </c>
      <c r="G394">
        <v>7</v>
      </c>
      <c r="H394">
        <v>12000</v>
      </c>
      <c r="I394">
        <v>84000</v>
      </c>
      <c r="J394" t="s">
        <v>10</v>
      </c>
    </row>
    <row r="395" spans="1:10" x14ac:dyDescent="0.25">
      <c r="A395" s="1" t="s">
        <v>19</v>
      </c>
      <c r="B395" s="1" t="str">
        <f t="shared" si="12"/>
        <v>Tuesday</v>
      </c>
      <c r="C395" s="1" t="str">
        <f>TEXT(Penjualan_Dimsum[[#This Row],[Tanggal]],"mmmm")</f>
        <v>June</v>
      </c>
      <c r="D395" s="1" t="str">
        <f t="shared" si="13"/>
        <v>Weekday</v>
      </c>
      <c r="E395" t="s">
        <v>12</v>
      </c>
      <c r="F395" t="s">
        <v>9</v>
      </c>
      <c r="G395">
        <v>6</v>
      </c>
      <c r="H395">
        <v>18000</v>
      </c>
      <c r="I395">
        <v>108000</v>
      </c>
      <c r="J395" t="s">
        <v>18</v>
      </c>
    </row>
    <row r="396" spans="1:10" x14ac:dyDescent="0.25">
      <c r="A396" s="1" t="s">
        <v>98</v>
      </c>
      <c r="B396" s="1" t="str">
        <f t="shared" si="12"/>
        <v>Monday</v>
      </c>
      <c r="C396" s="1" t="str">
        <f>TEXT(Penjualan_Dimsum[[#This Row],[Tanggal]],"mmmm")</f>
        <v>April</v>
      </c>
      <c r="D396" s="1" t="str">
        <f t="shared" si="13"/>
        <v>Weekday</v>
      </c>
      <c r="E396" t="s">
        <v>12</v>
      </c>
      <c r="F396" t="s">
        <v>9</v>
      </c>
      <c r="G396">
        <v>9</v>
      </c>
      <c r="H396">
        <v>20000</v>
      </c>
      <c r="I396">
        <v>180000</v>
      </c>
      <c r="J396" t="s">
        <v>10</v>
      </c>
    </row>
    <row r="397" spans="1:10" x14ac:dyDescent="0.25">
      <c r="A397" s="1" t="s">
        <v>98</v>
      </c>
      <c r="B397" s="1" t="str">
        <f t="shared" si="12"/>
        <v>Monday</v>
      </c>
      <c r="C397" s="1" t="str">
        <f>TEXT(Penjualan_Dimsum[[#This Row],[Tanggal]],"mmmm")</f>
        <v>April</v>
      </c>
      <c r="D397" s="1" t="str">
        <f t="shared" si="13"/>
        <v>Weekday</v>
      </c>
      <c r="E397" t="s">
        <v>16</v>
      </c>
      <c r="F397" t="s">
        <v>9</v>
      </c>
      <c r="G397">
        <v>5</v>
      </c>
      <c r="H397">
        <v>18000</v>
      </c>
      <c r="I397">
        <v>90000</v>
      </c>
      <c r="J397" t="s">
        <v>10</v>
      </c>
    </row>
    <row r="398" spans="1:10" x14ac:dyDescent="0.25">
      <c r="A398" s="1" t="s">
        <v>38</v>
      </c>
      <c r="B398" s="1" t="str">
        <f t="shared" si="12"/>
        <v>Thursday</v>
      </c>
      <c r="C398" s="1" t="str">
        <f>TEXT(Penjualan_Dimsum[[#This Row],[Tanggal]],"mmmm")</f>
        <v>May</v>
      </c>
      <c r="D398" s="1" t="str">
        <f t="shared" si="13"/>
        <v>Weekday</v>
      </c>
      <c r="E398" t="s">
        <v>8</v>
      </c>
      <c r="F398" t="s">
        <v>9</v>
      </c>
      <c r="G398">
        <v>6</v>
      </c>
      <c r="H398">
        <v>12000</v>
      </c>
      <c r="I398">
        <v>72000</v>
      </c>
      <c r="J398" t="s">
        <v>13</v>
      </c>
    </row>
    <row r="399" spans="1:10" x14ac:dyDescent="0.25">
      <c r="A399" s="1" t="s">
        <v>94</v>
      </c>
      <c r="B399" s="1" t="str">
        <f t="shared" si="12"/>
        <v>Saturday</v>
      </c>
      <c r="C399" s="1" t="str">
        <f>TEXT(Penjualan_Dimsum[[#This Row],[Tanggal]],"mmmm")</f>
        <v>April</v>
      </c>
      <c r="D399" s="1" t="str">
        <f t="shared" si="13"/>
        <v>Weekend</v>
      </c>
      <c r="E399" t="s">
        <v>22</v>
      </c>
      <c r="F399" t="s">
        <v>9</v>
      </c>
      <c r="G399">
        <v>2</v>
      </c>
      <c r="H399">
        <v>18000</v>
      </c>
      <c r="I399">
        <v>36000</v>
      </c>
      <c r="J399" t="s">
        <v>13</v>
      </c>
    </row>
    <row r="400" spans="1:10" x14ac:dyDescent="0.25">
      <c r="A400" s="1" t="s">
        <v>65</v>
      </c>
      <c r="B400" s="1" t="str">
        <f t="shared" si="12"/>
        <v>Sunday</v>
      </c>
      <c r="C400" s="1" t="str">
        <f>TEXT(Penjualan_Dimsum[[#This Row],[Tanggal]],"mmmm")</f>
        <v>May</v>
      </c>
      <c r="D400" s="1" t="str">
        <f t="shared" si="13"/>
        <v>Weekend</v>
      </c>
      <c r="E400" t="s">
        <v>26</v>
      </c>
      <c r="F400" t="s">
        <v>9</v>
      </c>
      <c r="G400">
        <v>12</v>
      </c>
      <c r="H400">
        <v>18000</v>
      </c>
      <c r="I400">
        <v>216000</v>
      </c>
      <c r="J400" t="s">
        <v>10</v>
      </c>
    </row>
    <row r="401" spans="1:10" x14ac:dyDescent="0.25">
      <c r="A401" s="1" t="s">
        <v>47</v>
      </c>
      <c r="B401" s="1" t="str">
        <f t="shared" si="12"/>
        <v>Friday</v>
      </c>
      <c r="C401" s="1" t="str">
        <f>TEXT(Penjualan_Dimsum[[#This Row],[Tanggal]],"mmmm")</f>
        <v>May</v>
      </c>
      <c r="D401" s="1" t="str">
        <f t="shared" si="13"/>
        <v>Weekday</v>
      </c>
      <c r="E401" t="s">
        <v>8</v>
      </c>
      <c r="F401" t="s">
        <v>9</v>
      </c>
      <c r="G401">
        <v>16</v>
      </c>
      <c r="H401">
        <v>20000</v>
      </c>
      <c r="I401">
        <v>320000</v>
      </c>
      <c r="J401" t="s">
        <v>10</v>
      </c>
    </row>
    <row r="402" spans="1:10" x14ac:dyDescent="0.25">
      <c r="A402" s="1" t="s">
        <v>73</v>
      </c>
      <c r="B402" s="1" t="str">
        <f t="shared" si="12"/>
        <v>Tuesday</v>
      </c>
      <c r="C402" s="1" t="str">
        <f>TEXT(Penjualan_Dimsum[[#This Row],[Tanggal]],"mmmm")</f>
        <v>May</v>
      </c>
      <c r="D402" s="1" t="str">
        <f t="shared" si="13"/>
        <v>Weekday</v>
      </c>
      <c r="E402" t="s">
        <v>22</v>
      </c>
      <c r="F402" t="s">
        <v>9</v>
      </c>
      <c r="G402">
        <v>3</v>
      </c>
      <c r="H402">
        <v>18000</v>
      </c>
      <c r="I402">
        <v>54000</v>
      </c>
      <c r="J402" t="s">
        <v>13</v>
      </c>
    </row>
    <row r="403" spans="1:10" x14ac:dyDescent="0.25">
      <c r="A403" s="1" t="s">
        <v>28</v>
      </c>
      <c r="B403" s="1" t="str">
        <f t="shared" si="12"/>
        <v>Tuesday</v>
      </c>
      <c r="C403" s="1" t="str">
        <f>TEXT(Penjualan_Dimsum[[#This Row],[Tanggal]],"mmmm")</f>
        <v>June</v>
      </c>
      <c r="D403" s="1" t="str">
        <f t="shared" si="13"/>
        <v>Weekday</v>
      </c>
      <c r="E403" t="s">
        <v>26</v>
      </c>
      <c r="F403" t="s">
        <v>9</v>
      </c>
      <c r="G403">
        <v>8</v>
      </c>
      <c r="H403">
        <v>18000</v>
      </c>
      <c r="I403">
        <v>144000</v>
      </c>
      <c r="J403" t="s">
        <v>20</v>
      </c>
    </row>
    <row r="404" spans="1:10" x14ac:dyDescent="0.25">
      <c r="A404" s="1" t="s">
        <v>42</v>
      </c>
      <c r="B404" s="1" t="str">
        <f t="shared" si="12"/>
        <v>Saturday</v>
      </c>
      <c r="C404" s="1" t="str">
        <f>TEXT(Penjualan_Dimsum[[#This Row],[Tanggal]],"mmmm")</f>
        <v>May</v>
      </c>
      <c r="D404" s="1" t="str">
        <f t="shared" si="13"/>
        <v>Weekend</v>
      </c>
      <c r="E404" t="s">
        <v>22</v>
      </c>
      <c r="F404" t="s">
        <v>9</v>
      </c>
      <c r="G404">
        <v>16</v>
      </c>
      <c r="H404">
        <v>15000</v>
      </c>
      <c r="I404">
        <v>240000</v>
      </c>
      <c r="J404" t="s">
        <v>10</v>
      </c>
    </row>
    <row r="405" spans="1:10" x14ac:dyDescent="0.25">
      <c r="A405" s="1" t="s">
        <v>86</v>
      </c>
      <c r="B405" s="1" t="str">
        <f t="shared" si="12"/>
        <v>Sunday</v>
      </c>
      <c r="C405" s="1" t="str">
        <f>TEXT(Penjualan_Dimsum[[#This Row],[Tanggal]],"mmmm")</f>
        <v>April</v>
      </c>
      <c r="D405" s="1" t="str">
        <f t="shared" si="13"/>
        <v>Weekend</v>
      </c>
      <c r="E405" t="s">
        <v>8</v>
      </c>
      <c r="F405" t="s">
        <v>9</v>
      </c>
      <c r="G405">
        <v>6</v>
      </c>
      <c r="H405">
        <v>18000</v>
      </c>
      <c r="I405">
        <v>108000</v>
      </c>
      <c r="J405" t="s">
        <v>13</v>
      </c>
    </row>
    <row r="406" spans="1:10" x14ac:dyDescent="0.25">
      <c r="A406" s="1" t="s">
        <v>31</v>
      </c>
      <c r="B406" s="1" t="str">
        <f t="shared" si="12"/>
        <v>Sunday</v>
      </c>
      <c r="C406" s="1" t="str">
        <f>TEXT(Penjualan_Dimsum[[#This Row],[Tanggal]],"mmmm")</f>
        <v>April</v>
      </c>
      <c r="D406" s="1" t="str">
        <f t="shared" si="13"/>
        <v>Weekend</v>
      </c>
      <c r="E406" t="s">
        <v>22</v>
      </c>
      <c r="F406" t="s">
        <v>9</v>
      </c>
      <c r="G406">
        <v>1</v>
      </c>
      <c r="H406">
        <v>20000</v>
      </c>
      <c r="I406">
        <v>20000</v>
      </c>
      <c r="J406" t="s">
        <v>10</v>
      </c>
    </row>
    <row r="407" spans="1:10" x14ac:dyDescent="0.25">
      <c r="A407" s="1" t="s">
        <v>25</v>
      </c>
      <c r="B407" s="1" t="str">
        <f t="shared" si="12"/>
        <v>Friday</v>
      </c>
      <c r="C407" s="1" t="str">
        <f>TEXT(Penjualan_Dimsum[[#This Row],[Tanggal]],"mmmm")</f>
        <v>May</v>
      </c>
      <c r="D407" s="1" t="str">
        <f t="shared" si="13"/>
        <v>Weekday</v>
      </c>
      <c r="E407" t="s">
        <v>16</v>
      </c>
      <c r="F407" t="s">
        <v>9</v>
      </c>
      <c r="G407">
        <v>18</v>
      </c>
      <c r="H407">
        <v>18000</v>
      </c>
      <c r="I407">
        <v>324000</v>
      </c>
      <c r="J407" t="s">
        <v>18</v>
      </c>
    </row>
    <row r="408" spans="1:10" x14ac:dyDescent="0.25">
      <c r="A408" s="1" t="s">
        <v>33</v>
      </c>
      <c r="B408" s="1" t="str">
        <f t="shared" si="12"/>
        <v>Monday</v>
      </c>
      <c r="C408" s="1" t="str">
        <f>TEXT(Penjualan_Dimsum[[#This Row],[Tanggal]],"mmmm")</f>
        <v>April</v>
      </c>
      <c r="D408" s="1" t="str">
        <f t="shared" si="13"/>
        <v>Weekday</v>
      </c>
      <c r="E408" t="s">
        <v>12</v>
      </c>
      <c r="F408" t="s">
        <v>9</v>
      </c>
      <c r="G408">
        <v>19</v>
      </c>
      <c r="H408">
        <v>12000</v>
      </c>
      <c r="I408">
        <v>228000</v>
      </c>
      <c r="J408" t="s">
        <v>18</v>
      </c>
    </row>
    <row r="409" spans="1:10" x14ac:dyDescent="0.25">
      <c r="A409" s="1" t="s">
        <v>76</v>
      </c>
      <c r="B409" s="1" t="str">
        <f t="shared" si="12"/>
        <v>Tuesday</v>
      </c>
      <c r="C409" s="1" t="str">
        <f>TEXT(Penjualan_Dimsum[[#This Row],[Tanggal]],"mmmm")</f>
        <v>April</v>
      </c>
      <c r="D409" s="1" t="str">
        <f t="shared" si="13"/>
        <v>Weekday</v>
      </c>
      <c r="E409" t="s">
        <v>16</v>
      </c>
      <c r="F409" t="s">
        <v>9</v>
      </c>
      <c r="G409">
        <v>17</v>
      </c>
      <c r="H409">
        <v>18000</v>
      </c>
      <c r="I409">
        <v>306000</v>
      </c>
      <c r="J409" t="s">
        <v>10</v>
      </c>
    </row>
    <row r="410" spans="1:10" x14ac:dyDescent="0.25">
      <c r="A410" s="1" t="s">
        <v>91</v>
      </c>
      <c r="B410" s="1" t="str">
        <f t="shared" si="12"/>
        <v>Wednesday</v>
      </c>
      <c r="C410" s="1" t="str">
        <f>TEXT(Penjualan_Dimsum[[#This Row],[Tanggal]],"mmmm")</f>
        <v>April</v>
      </c>
      <c r="D410" s="1" t="str">
        <f t="shared" si="13"/>
        <v>Weekday</v>
      </c>
      <c r="E410" t="s">
        <v>8</v>
      </c>
      <c r="F410" t="s">
        <v>9</v>
      </c>
      <c r="G410">
        <v>12</v>
      </c>
      <c r="H410">
        <v>18000</v>
      </c>
      <c r="I410">
        <v>216000</v>
      </c>
      <c r="J410" t="s">
        <v>20</v>
      </c>
    </row>
    <row r="411" spans="1:10" x14ac:dyDescent="0.25">
      <c r="A411" s="1" t="s">
        <v>25</v>
      </c>
      <c r="B411" s="1" t="str">
        <f t="shared" si="12"/>
        <v>Friday</v>
      </c>
      <c r="C411" s="1" t="str">
        <f>TEXT(Penjualan_Dimsum[[#This Row],[Tanggal]],"mmmm")</f>
        <v>May</v>
      </c>
      <c r="D411" s="1" t="str">
        <f t="shared" si="13"/>
        <v>Weekday</v>
      </c>
      <c r="E411" t="s">
        <v>22</v>
      </c>
      <c r="F411" t="s">
        <v>9</v>
      </c>
      <c r="G411">
        <v>13</v>
      </c>
      <c r="H411">
        <v>18000</v>
      </c>
      <c r="I411">
        <v>234000</v>
      </c>
      <c r="J411" t="s">
        <v>18</v>
      </c>
    </row>
    <row r="412" spans="1:10" x14ac:dyDescent="0.25">
      <c r="A412" s="1" t="s">
        <v>50</v>
      </c>
      <c r="B412" s="1" t="str">
        <f t="shared" si="12"/>
        <v>Tuesday</v>
      </c>
      <c r="C412" s="1" t="str">
        <f>TEXT(Penjualan_Dimsum[[#This Row],[Tanggal]],"mmmm")</f>
        <v>April</v>
      </c>
      <c r="D412" s="1" t="str">
        <f t="shared" si="13"/>
        <v>Weekday</v>
      </c>
      <c r="E412" t="s">
        <v>22</v>
      </c>
      <c r="F412" t="s">
        <v>9</v>
      </c>
      <c r="G412">
        <v>3</v>
      </c>
      <c r="H412">
        <v>20000</v>
      </c>
      <c r="I412">
        <v>60000</v>
      </c>
      <c r="J412" t="s">
        <v>18</v>
      </c>
    </row>
    <row r="413" spans="1:10" x14ac:dyDescent="0.25">
      <c r="A413" s="1" t="s">
        <v>63</v>
      </c>
      <c r="B413" s="1" t="str">
        <f t="shared" si="12"/>
        <v>Saturday</v>
      </c>
      <c r="C413" s="1" t="str">
        <f>TEXT(Penjualan_Dimsum[[#This Row],[Tanggal]],"mmmm")</f>
        <v>April</v>
      </c>
      <c r="D413" s="1" t="str">
        <f t="shared" si="13"/>
        <v>Weekend</v>
      </c>
      <c r="E413" t="s">
        <v>12</v>
      </c>
      <c r="F413" t="s">
        <v>9</v>
      </c>
      <c r="G413">
        <v>7</v>
      </c>
      <c r="H413">
        <v>18000</v>
      </c>
      <c r="I413">
        <v>126000</v>
      </c>
      <c r="J413" t="s">
        <v>10</v>
      </c>
    </row>
    <row r="414" spans="1:10" x14ac:dyDescent="0.25">
      <c r="A414" s="1" t="s">
        <v>77</v>
      </c>
      <c r="B414" s="1" t="str">
        <f t="shared" si="12"/>
        <v>Monday</v>
      </c>
      <c r="C414" s="1" t="str">
        <f>TEXT(Penjualan_Dimsum[[#This Row],[Tanggal]],"mmmm")</f>
        <v>June</v>
      </c>
      <c r="D414" s="1" t="str">
        <f t="shared" si="13"/>
        <v>Weekday</v>
      </c>
      <c r="E414" t="s">
        <v>12</v>
      </c>
      <c r="F414" t="s">
        <v>9</v>
      </c>
      <c r="G414">
        <v>13</v>
      </c>
      <c r="H414">
        <v>12000</v>
      </c>
      <c r="I414">
        <v>156000</v>
      </c>
      <c r="J414" t="s">
        <v>18</v>
      </c>
    </row>
    <row r="415" spans="1:10" x14ac:dyDescent="0.25">
      <c r="A415" s="1" t="s">
        <v>73</v>
      </c>
      <c r="B415" s="1" t="str">
        <f t="shared" si="12"/>
        <v>Tuesday</v>
      </c>
      <c r="C415" s="1" t="str">
        <f>TEXT(Penjualan_Dimsum[[#This Row],[Tanggal]],"mmmm")</f>
        <v>May</v>
      </c>
      <c r="D415" s="1" t="str">
        <f t="shared" si="13"/>
        <v>Weekday</v>
      </c>
      <c r="E415" t="s">
        <v>8</v>
      </c>
      <c r="F415" t="s">
        <v>9</v>
      </c>
      <c r="G415">
        <v>19</v>
      </c>
      <c r="H415">
        <v>20000</v>
      </c>
      <c r="I415">
        <v>380000</v>
      </c>
      <c r="J415" t="s">
        <v>13</v>
      </c>
    </row>
    <row r="416" spans="1:10" x14ac:dyDescent="0.25">
      <c r="A416" s="1" t="s">
        <v>63</v>
      </c>
      <c r="B416" s="1" t="str">
        <f t="shared" si="12"/>
        <v>Saturday</v>
      </c>
      <c r="C416" s="1" t="str">
        <f>TEXT(Penjualan_Dimsum[[#This Row],[Tanggal]],"mmmm")</f>
        <v>April</v>
      </c>
      <c r="D416" s="1" t="str">
        <f t="shared" si="13"/>
        <v>Weekend</v>
      </c>
      <c r="E416" t="s">
        <v>8</v>
      </c>
      <c r="F416" t="s">
        <v>9</v>
      </c>
      <c r="G416">
        <v>15</v>
      </c>
      <c r="H416">
        <v>18000</v>
      </c>
      <c r="I416">
        <v>270000</v>
      </c>
      <c r="J416" t="s">
        <v>10</v>
      </c>
    </row>
    <row r="417" spans="1:10" x14ac:dyDescent="0.25">
      <c r="A417" s="1" t="s">
        <v>21</v>
      </c>
      <c r="B417" s="1" t="str">
        <f t="shared" si="12"/>
        <v>Thursday</v>
      </c>
      <c r="C417" s="1" t="str">
        <f>TEXT(Penjualan_Dimsum[[#This Row],[Tanggal]],"mmmm")</f>
        <v>May</v>
      </c>
      <c r="D417" s="1" t="str">
        <f t="shared" si="13"/>
        <v>Weekday</v>
      </c>
      <c r="E417" t="s">
        <v>12</v>
      </c>
      <c r="F417" t="s">
        <v>9</v>
      </c>
      <c r="G417">
        <v>9</v>
      </c>
      <c r="H417">
        <v>12000</v>
      </c>
      <c r="I417">
        <v>108000</v>
      </c>
      <c r="J417" t="s">
        <v>13</v>
      </c>
    </row>
    <row r="418" spans="1:10" x14ac:dyDescent="0.25">
      <c r="A418" s="1" t="s">
        <v>62</v>
      </c>
      <c r="B418" s="1" t="str">
        <f t="shared" si="12"/>
        <v>Wednesday</v>
      </c>
      <c r="C418" s="1" t="str">
        <f>TEXT(Penjualan_Dimsum[[#This Row],[Tanggal]],"mmmm")</f>
        <v>June</v>
      </c>
      <c r="D418" s="1" t="str">
        <f t="shared" si="13"/>
        <v>Weekday</v>
      </c>
      <c r="E418" t="s">
        <v>16</v>
      </c>
      <c r="F418" t="s">
        <v>9</v>
      </c>
      <c r="G418">
        <v>17</v>
      </c>
      <c r="H418">
        <v>12000</v>
      </c>
      <c r="I418">
        <v>204000</v>
      </c>
      <c r="J418" t="s">
        <v>18</v>
      </c>
    </row>
    <row r="419" spans="1:10" x14ac:dyDescent="0.25">
      <c r="A419" s="1" t="s">
        <v>25</v>
      </c>
      <c r="B419" s="1" t="str">
        <f t="shared" si="12"/>
        <v>Friday</v>
      </c>
      <c r="C419" s="1" t="str">
        <f>TEXT(Penjualan_Dimsum[[#This Row],[Tanggal]],"mmmm")</f>
        <v>May</v>
      </c>
      <c r="D419" s="1" t="str">
        <f t="shared" si="13"/>
        <v>Weekday</v>
      </c>
      <c r="E419" t="s">
        <v>22</v>
      </c>
      <c r="F419" t="s">
        <v>9</v>
      </c>
      <c r="G419">
        <v>20</v>
      </c>
      <c r="H419">
        <v>20000</v>
      </c>
      <c r="I419">
        <v>400000</v>
      </c>
      <c r="J419" t="s">
        <v>13</v>
      </c>
    </row>
    <row r="420" spans="1:10" x14ac:dyDescent="0.25">
      <c r="A420" s="1" t="s">
        <v>75</v>
      </c>
      <c r="B420" s="1" t="str">
        <f t="shared" si="12"/>
        <v>Monday</v>
      </c>
      <c r="C420" s="1" t="str">
        <f>TEXT(Penjualan_Dimsum[[#This Row],[Tanggal]],"mmmm")</f>
        <v>May</v>
      </c>
      <c r="D420" s="1" t="str">
        <f t="shared" si="13"/>
        <v>Weekday</v>
      </c>
      <c r="E420" t="s">
        <v>8</v>
      </c>
      <c r="F420" t="s">
        <v>9</v>
      </c>
      <c r="G420">
        <v>1</v>
      </c>
      <c r="H420">
        <v>20000</v>
      </c>
      <c r="I420">
        <v>20000</v>
      </c>
      <c r="J420" t="s">
        <v>20</v>
      </c>
    </row>
    <row r="421" spans="1:10" x14ac:dyDescent="0.25">
      <c r="A421" s="1" t="s">
        <v>89</v>
      </c>
      <c r="B421" s="1" t="str">
        <f t="shared" si="12"/>
        <v>Saturday</v>
      </c>
      <c r="C421" s="1" t="str">
        <f>TEXT(Penjualan_Dimsum[[#This Row],[Tanggal]],"mmmm")</f>
        <v>June</v>
      </c>
      <c r="D421" s="1" t="str">
        <f t="shared" si="13"/>
        <v>Weekend</v>
      </c>
      <c r="E421" t="s">
        <v>16</v>
      </c>
      <c r="F421" t="s">
        <v>9</v>
      </c>
      <c r="G421">
        <v>19</v>
      </c>
      <c r="H421">
        <v>12000</v>
      </c>
      <c r="I421">
        <v>228000</v>
      </c>
      <c r="J421" t="s">
        <v>20</v>
      </c>
    </row>
    <row r="422" spans="1:10" x14ac:dyDescent="0.25">
      <c r="A422" s="1" t="s">
        <v>31</v>
      </c>
      <c r="B422" s="1" t="str">
        <f t="shared" si="12"/>
        <v>Sunday</v>
      </c>
      <c r="C422" s="1" t="str">
        <f>TEXT(Penjualan_Dimsum[[#This Row],[Tanggal]],"mmmm")</f>
        <v>April</v>
      </c>
      <c r="D422" s="1" t="str">
        <f t="shared" si="13"/>
        <v>Weekend</v>
      </c>
      <c r="E422" t="s">
        <v>22</v>
      </c>
      <c r="F422" t="s">
        <v>9</v>
      </c>
      <c r="G422">
        <v>3</v>
      </c>
      <c r="H422">
        <v>12000</v>
      </c>
      <c r="I422">
        <v>36000</v>
      </c>
      <c r="J422" t="s">
        <v>13</v>
      </c>
    </row>
    <row r="423" spans="1:10" x14ac:dyDescent="0.25">
      <c r="A423" s="1" t="s">
        <v>23</v>
      </c>
      <c r="B423" s="1" t="str">
        <f t="shared" si="12"/>
        <v>Friday</v>
      </c>
      <c r="C423" s="1" t="str">
        <f>TEXT(Penjualan_Dimsum[[#This Row],[Tanggal]],"mmmm")</f>
        <v>June</v>
      </c>
      <c r="D423" s="1" t="str">
        <f t="shared" si="13"/>
        <v>Weekday</v>
      </c>
      <c r="E423" t="s">
        <v>26</v>
      </c>
      <c r="F423" t="s">
        <v>9</v>
      </c>
      <c r="G423">
        <v>12</v>
      </c>
      <c r="H423">
        <v>15000</v>
      </c>
      <c r="I423">
        <v>180000</v>
      </c>
      <c r="J423" t="s">
        <v>10</v>
      </c>
    </row>
    <row r="424" spans="1:10" x14ac:dyDescent="0.25">
      <c r="A424" s="1" t="s">
        <v>100</v>
      </c>
      <c r="B424" s="1" t="str">
        <f t="shared" si="12"/>
        <v>Saturday</v>
      </c>
      <c r="C424" s="1" t="str">
        <f>TEXT(Penjualan_Dimsum[[#This Row],[Tanggal]],"mmmm")</f>
        <v>June</v>
      </c>
      <c r="D424" s="1" t="str">
        <f t="shared" si="13"/>
        <v>Weekend</v>
      </c>
      <c r="E424" t="s">
        <v>22</v>
      </c>
      <c r="F424" t="s">
        <v>9</v>
      </c>
      <c r="G424">
        <v>12</v>
      </c>
      <c r="H424">
        <v>15000</v>
      </c>
      <c r="I424">
        <v>180000</v>
      </c>
      <c r="J424" t="s">
        <v>20</v>
      </c>
    </row>
    <row r="425" spans="1:10" x14ac:dyDescent="0.25">
      <c r="A425" s="1" t="s">
        <v>61</v>
      </c>
      <c r="B425" s="1" t="str">
        <f t="shared" si="12"/>
        <v>Wednesday</v>
      </c>
      <c r="C425" s="1" t="str">
        <f>TEXT(Penjualan_Dimsum[[#This Row],[Tanggal]],"mmmm")</f>
        <v>May</v>
      </c>
      <c r="D425" s="1" t="str">
        <f t="shared" si="13"/>
        <v>Weekday</v>
      </c>
      <c r="E425" t="s">
        <v>12</v>
      </c>
      <c r="F425" t="s">
        <v>9</v>
      </c>
      <c r="G425">
        <v>17</v>
      </c>
      <c r="H425">
        <v>20000</v>
      </c>
      <c r="I425">
        <v>340000</v>
      </c>
      <c r="J425" t="s">
        <v>20</v>
      </c>
    </row>
    <row r="426" spans="1:10" x14ac:dyDescent="0.25">
      <c r="A426" s="1" t="s">
        <v>87</v>
      </c>
      <c r="B426" s="1" t="str">
        <f t="shared" si="12"/>
        <v>Saturday</v>
      </c>
      <c r="C426" s="1" t="str">
        <f>TEXT(Penjualan_Dimsum[[#This Row],[Tanggal]],"mmmm")</f>
        <v>May</v>
      </c>
      <c r="D426" s="1" t="str">
        <f t="shared" si="13"/>
        <v>Weekend</v>
      </c>
      <c r="E426" t="s">
        <v>16</v>
      </c>
      <c r="F426" t="s">
        <v>9</v>
      </c>
      <c r="G426">
        <v>8</v>
      </c>
      <c r="H426">
        <v>20000</v>
      </c>
      <c r="I426">
        <v>160000</v>
      </c>
      <c r="J426" t="s">
        <v>13</v>
      </c>
    </row>
    <row r="427" spans="1:10" x14ac:dyDescent="0.25">
      <c r="A427" s="1" t="s">
        <v>60</v>
      </c>
      <c r="B427" s="1" t="str">
        <f t="shared" si="12"/>
        <v>Saturday</v>
      </c>
      <c r="C427" s="1" t="str">
        <f>TEXT(Penjualan_Dimsum[[#This Row],[Tanggal]],"mmmm")</f>
        <v>April</v>
      </c>
      <c r="D427" s="1" t="str">
        <f t="shared" si="13"/>
        <v>Weekend</v>
      </c>
      <c r="E427" t="s">
        <v>26</v>
      </c>
      <c r="F427" t="s">
        <v>9</v>
      </c>
      <c r="G427">
        <v>13</v>
      </c>
      <c r="H427">
        <v>12000</v>
      </c>
      <c r="I427">
        <v>156000</v>
      </c>
      <c r="J427" t="s">
        <v>13</v>
      </c>
    </row>
    <row r="428" spans="1:10" x14ac:dyDescent="0.25">
      <c r="A428" s="1" t="s">
        <v>25</v>
      </c>
      <c r="B428" s="1" t="str">
        <f t="shared" si="12"/>
        <v>Friday</v>
      </c>
      <c r="C428" s="1" t="str">
        <f>TEXT(Penjualan_Dimsum[[#This Row],[Tanggal]],"mmmm")</f>
        <v>May</v>
      </c>
      <c r="D428" s="1" t="str">
        <f t="shared" si="13"/>
        <v>Weekday</v>
      </c>
      <c r="E428" t="s">
        <v>8</v>
      </c>
      <c r="F428" t="s">
        <v>9</v>
      </c>
      <c r="G428">
        <v>18</v>
      </c>
      <c r="H428">
        <v>20000</v>
      </c>
      <c r="I428">
        <v>360000</v>
      </c>
      <c r="J428" t="s">
        <v>10</v>
      </c>
    </row>
    <row r="429" spans="1:10" x14ac:dyDescent="0.25">
      <c r="A429" s="1" t="s">
        <v>87</v>
      </c>
      <c r="B429" s="1" t="str">
        <f t="shared" si="12"/>
        <v>Saturday</v>
      </c>
      <c r="C429" s="1" t="str">
        <f>TEXT(Penjualan_Dimsum[[#This Row],[Tanggal]],"mmmm")</f>
        <v>May</v>
      </c>
      <c r="D429" s="1" t="str">
        <f t="shared" si="13"/>
        <v>Weekend</v>
      </c>
      <c r="E429" t="s">
        <v>16</v>
      </c>
      <c r="F429" t="s">
        <v>9</v>
      </c>
      <c r="G429">
        <v>16</v>
      </c>
      <c r="H429">
        <v>18000</v>
      </c>
      <c r="I429">
        <v>288000</v>
      </c>
      <c r="J429" t="s">
        <v>20</v>
      </c>
    </row>
    <row r="430" spans="1:10" x14ac:dyDescent="0.25">
      <c r="A430" s="1" t="s">
        <v>40</v>
      </c>
      <c r="B430" s="1" t="str">
        <f t="shared" si="12"/>
        <v>Thursday</v>
      </c>
      <c r="C430" s="1" t="str">
        <f>TEXT(Penjualan_Dimsum[[#This Row],[Tanggal]],"mmmm")</f>
        <v>June</v>
      </c>
      <c r="D430" s="1" t="str">
        <f t="shared" si="13"/>
        <v>Weekday</v>
      </c>
      <c r="E430" t="s">
        <v>22</v>
      </c>
      <c r="F430" t="s">
        <v>9</v>
      </c>
      <c r="G430">
        <v>4</v>
      </c>
      <c r="H430">
        <v>15000</v>
      </c>
      <c r="I430">
        <v>60000</v>
      </c>
      <c r="J430" t="s">
        <v>13</v>
      </c>
    </row>
    <row r="431" spans="1:10" x14ac:dyDescent="0.25">
      <c r="A431" s="1" t="s">
        <v>58</v>
      </c>
      <c r="B431" s="1" t="str">
        <f t="shared" si="12"/>
        <v>Monday</v>
      </c>
      <c r="C431" s="1" t="str">
        <f>TEXT(Penjualan_Dimsum[[#This Row],[Tanggal]],"mmmm")</f>
        <v>April</v>
      </c>
      <c r="D431" s="1" t="str">
        <f t="shared" si="13"/>
        <v>Weekday</v>
      </c>
      <c r="E431" t="s">
        <v>12</v>
      </c>
      <c r="F431" t="s">
        <v>9</v>
      </c>
      <c r="G431">
        <v>5</v>
      </c>
      <c r="H431">
        <v>15000</v>
      </c>
      <c r="I431">
        <v>75000</v>
      </c>
      <c r="J431" t="s">
        <v>13</v>
      </c>
    </row>
    <row r="432" spans="1:10" x14ac:dyDescent="0.25">
      <c r="A432" s="1" t="s">
        <v>71</v>
      </c>
      <c r="B432" s="1" t="str">
        <f t="shared" si="12"/>
        <v>Sunday</v>
      </c>
      <c r="C432" s="1" t="str">
        <f>TEXT(Penjualan_Dimsum[[#This Row],[Tanggal]],"mmmm")</f>
        <v>May</v>
      </c>
      <c r="D432" s="1" t="str">
        <f t="shared" si="13"/>
        <v>Weekend</v>
      </c>
      <c r="E432" t="s">
        <v>22</v>
      </c>
      <c r="F432" t="s">
        <v>9</v>
      </c>
      <c r="G432">
        <v>4</v>
      </c>
      <c r="H432">
        <v>12000</v>
      </c>
      <c r="I432">
        <v>48000</v>
      </c>
      <c r="J432" t="s">
        <v>13</v>
      </c>
    </row>
    <row r="433" spans="1:10" x14ac:dyDescent="0.25">
      <c r="A433" s="1" t="s">
        <v>65</v>
      </c>
      <c r="B433" s="1" t="str">
        <f t="shared" si="12"/>
        <v>Sunday</v>
      </c>
      <c r="C433" s="1" t="str">
        <f>TEXT(Penjualan_Dimsum[[#This Row],[Tanggal]],"mmmm")</f>
        <v>May</v>
      </c>
      <c r="D433" s="1" t="str">
        <f t="shared" si="13"/>
        <v>Weekend</v>
      </c>
      <c r="E433" t="s">
        <v>8</v>
      </c>
      <c r="F433" t="s">
        <v>9</v>
      </c>
      <c r="G433">
        <v>15</v>
      </c>
      <c r="H433">
        <v>15000</v>
      </c>
      <c r="I433">
        <v>225000</v>
      </c>
      <c r="J433" t="s">
        <v>13</v>
      </c>
    </row>
    <row r="434" spans="1:10" x14ac:dyDescent="0.25">
      <c r="A434" s="1" t="s">
        <v>56</v>
      </c>
      <c r="B434" s="1" t="str">
        <f t="shared" si="12"/>
        <v>Friday</v>
      </c>
      <c r="C434" s="1" t="str">
        <f>TEXT(Penjualan_Dimsum[[#This Row],[Tanggal]],"mmmm")</f>
        <v>May</v>
      </c>
      <c r="D434" s="1" t="str">
        <f t="shared" si="13"/>
        <v>Weekday</v>
      </c>
      <c r="E434" t="s">
        <v>16</v>
      </c>
      <c r="F434" t="s">
        <v>9</v>
      </c>
      <c r="G434">
        <v>10</v>
      </c>
      <c r="H434">
        <v>20000</v>
      </c>
      <c r="I434">
        <v>200000</v>
      </c>
      <c r="J434" t="s">
        <v>20</v>
      </c>
    </row>
    <row r="435" spans="1:10" x14ac:dyDescent="0.25">
      <c r="A435" s="1" t="s">
        <v>15</v>
      </c>
      <c r="B435" s="1" t="str">
        <f t="shared" si="12"/>
        <v>Friday</v>
      </c>
      <c r="C435" s="1" t="str">
        <f>TEXT(Penjualan_Dimsum[[#This Row],[Tanggal]],"mmmm")</f>
        <v>June</v>
      </c>
      <c r="D435" s="1" t="str">
        <f t="shared" si="13"/>
        <v>Weekday</v>
      </c>
      <c r="E435" t="s">
        <v>16</v>
      </c>
      <c r="F435" t="s">
        <v>9</v>
      </c>
      <c r="G435">
        <v>8</v>
      </c>
      <c r="H435">
        <v>20000</v>
      </c>
      <c r="I435">
        <v>160000</v>
      </c>
      <c r="J435" t="s">
        <v>13</v>
      </c>
    </row>
    <row r="436" spans="1:10" x14ac:dyDescent="0.25">
      <c r="A436" s="1" t="s">
        <v>11</v>
      </c>
      <c r="B436" s="1" t="str">
        <f t="shared" si="12"/>
        <v>Wednesday</v>
      </c>
      <c r="C436" s="1" t="str">
        <f>TEXT(Penjualan_Dimsum[[#This Row],[Tanggal]],"mmmm")</f>
        <v>April</v>
      </c>
      <c r="D436" s="1" t="str">
        <f t="shared" si="13"/>
        <v>Weekday</v>
      </c>
      <c r="E436" t="s">
        <v>16</v>
      </c>
      <c r="F436" t="s">
        <v>9</v>
      </c>
      <c r="G436">
        <v>9</v>
      </c>
      <c r="H436">
        <v>15000</v>
      </c>
      <c r="I436">
        <v>135000</v>
      </c>
      <c r="J436" t="s">
        <v>10</v>
      </c>
    </row>
    <row r="437" spans="1:10" x14ac:dyDescent="0.25">
      <c r="A437" s="1" t="s">
        <v>35</v>
      </c>
      <c r="B437" s="1" t="str">
        <f t="shared" si="12"/>
        <v>Saturday</v>
      </c>
      <c r="C437" s="1" t="str">
        <f>TEXT(Penjualan_Dimsum[[#This Row],[Tanggal]],"mmmm")</f>
        <v>June</v>
      </c>
      <c r="D437" s="1" t="str">
        <f t="shared" si="13"/>
        <v>Weekend</v>
      </c>
      <c r="E437" t="s">
        <v>16</v>
      </c>
      <c r="F437" t="s">
        <v>9</v>
      </c>
      <c r="G437">
        <v>19</v>
      </c>
      <c r="H437">
        <v>20000</v>
      </c>
      <c r="I437">
        <v>380000</v>
      </c>
      <c r="J437" t="s">
        <v>13</v>
      </c>
    </row>
    <row r="438" spans="1:10" x14ac:dyDescent="0.25">
      <c r="A438" s="1" t="s">
        <v>70</v>
      </c>
      <c r="B438" s="1" t="str">
        <f t="shared" si="12"/>
        <v>Sunday</v>
      </c>
      <c r="C438" s="1" t="str">
        <f>TEXT(Penjualan_Dimsum[[#This Row],[Tanggal]],"mmmm")</f>
        <v>April</v>
      </c>
      <c r="D438" s="1" t="str">
        <f t="shared" si="13"/>
        <v>Weekend</v>
      </c>
      <c r="E438" t="s">
        <v>8</v>
      </c>
      <c r="F438" t="s">
        <v>9</v>
      </c>
      <c r="G438">
        <v>15</v>
      </c>
      <c r="H438">
        <v>18000</v>
      </c>
      <c r="I438">
        <v>270000</v>
      </c>
      <c r="J438" t="s">
        <v>13</v>
      </c>
    </row>
    <row r="439" spans="1:10" x14ac:dyDescent="0.25">
      <c r="A439" s="1" t="s">
        <v>45</v>
      </c>
      <c r="B439" s="1" t="str">
        <f t="shared" si="12"/>
        <v>Saturday</v>
      </c>
      <c r="C439" s="1" t="str">
        <f>TEXT(Penjualan_Dimsum[[#This Row],[Tanggal]],"mmmm")</f>
        <v>May</v>
      </c>
      <c r="D439" s="1" t="str">
        <f t="shared" si="13"/>
        <v>Weekend</v>
      </c>
      <c r="E439" t="s">
        <v>26</v>
      </c>
      <c r="F439" t="s">
        <v>9</v>
      </c>
      <c r="G439">
        <v>20</v>
      </c>
      <c r="H439">
        <v>20000</v>
      </c>
      <c r="I439">
        <v>400000</v>
      </c>
      <c r="J439" t="s">
        <v>20</v>
      </c>
    </row>
    <row r="440" spans="1:10" x14ac:dyDescent="0.25">
      <c r="A440" s="1" t="s">
        <v>76</v>
      </c>
      <c r="B440" s="1" t="str">
        <f t="shared" si="12"/>
        <v>Tuesday</v>
      </c>
      <c r="C440" s="1" t="str">
        <f>TEXT(Penjualan_Dimsum[[#This Row],[Tanggal]],"mmmm")</f>
        <v>April</v>
      </c>
      <c r="D440" s="1" t="str">
        <f t="shared" si="13"/>
        <v>Weekday</v>
      </c>
      <c r="E440" t="s">
        <v>22</v>
      </c>
      <c r="F440" t="s">
        <v>9</v>
      </c>
      <c r="G440">
        <v>6</v>
      </c>
      <c r="H440">
        <v>20000</v>
      </c>
      <c r="I440">
        <v>120000</v>
      </c>
      <c r="J440" t="s">
        <v>10</v>
      </c>
    </row>
    <row r="441" spans="1:10" x14ac:dyDescent="0.25">
      <c r="A441" s="1" t="s">
        <v>11</v>
      </c>
      <c r="B441" s="1" t="str">
        <f t="shared" si="12"/>
        <v>Wednesday</v>
      </c>
      <c r="C441" s="1" t="str">
        <f>TEXT(Penjualan_Dimsum[[#This Row],[Tanggal]],"mmmm")</f>
        <v>April</v>
      </c>
      <c r="D441" s="1" t="str">
        <f t="shared" si="13"/>
        <v>Weekday</v>
      </c>
      <c r="E441" t="s">
        <v>12</v>
      </c>
      <c r="F441" t="s">
        <v>9</v>
      </c>
      <c r="G441">
        <v>14</v>
      </c>
      <c r="H441">
        <v>20000</v>
      </c>
      <c r="I441">
        <v>280000</v>
      </c>
      <c r="J441" t="s">
        <v>20</v>
      </c>
    </row>
    <row r="442" spans="1:10" x14ac:dyDescent="0.25">
      <c r="A442" s="1" t="s">
        <v>105</v>
      </c>
      <c r="B442" s="1" t="str">
        <f t="shared" si="12"/>
        <v>Tuesday</v>
      </c>
      <c r="C442" s="1" t="str">
        <f>TEXT(Penjualan_Dimsum[[#This Row],[Tanggal]],"mmmm")</f>
        <v>May</v>
      </c>
      <c r="D442" s="1" t="str">
        <f t="shared" si="13"/>
        <v>Weekday</v>
      </c>
      <c r="E442" t="s">
        <v>8</v>
      </c>
      <c r="F442" t="s">
        <v>9</v>
      </c>
      <c r="G442">
        <v>8</v>
      </c>
      <c r="H442">
        <v>12000</v>
      </c>
      <c r="I442">
        <v>96000</v>
      </c>
      <c r="J442" t="s">
        <v>20</v>
      </c>
    </row>
    <row r="443" spans="1:10" x14ac:dyDescent="0.25">
      <c r="A443" s="1" t="s">
        <v>21</v>
      </c>
      <c r="B443" s="1" t="str">
        <f t="shared" si="12"/>
        <v>Thursday</v>
      </c>
      <c r="C443" s="1" t="str">
        <f>TEXT(Penjualan_Dimsum[[#This Row],[Tanggal]],"mmmm")</f>
        <v>May</v>
      </c>
      <c r="D443" s="1" t="str">
        <f t="shared" si="13"/>
        <v>Weekday</v>
      </c>
      <c r="E443" t="s">
        <v>12</v>
      </c>
      <c r="F443" t="s">
        <v>9</v>
      </c>
      <c r="G443">
        <v>17</v>
      </c>
      <c r="H443">
        <v>12000</v>
      </c>
      <c r="I443">
        <v>204000</v>
      </c>
      <c r="J443" t="s">
        <v>13</v>
      </c>
    </row>
    <row r="444" spans="1:10" x14ac:dyDescent="0.25">
      <c r="A444" s="1" t="s">
        <v>75</v>
      </c>
      <c r="B444" s="1" t="str">
        <f t="shared" si="12"/>
        <v>Monday</v>
      </c>
      <c r="C444" s="1" t="str">
        <f>TEXT(Penjualan_Dimsum[[#This Row],[Tanggal]],"mmmm")</f>
        <v>May</v>
      </c>
      <c r="D444" s="1" t="str">
        <f t="shared" si="13"/>
        <v>Weekday</v>
      </c>
      <c r="E444" t="s">
        <v>22</v>
      </c>
      <c r="F444" t="s">
        <v>9</v>
      </c>
      <c r="G444">
        <v>4</v>
      </c>
      <c r="H444">
        <v>15000</v>
      </c>
      <c r="I444">
        <v>60000</v>
      </c>
      <c r="J444" t="s">
        <v>18</v>
      </c>
    </row>
    <row r="445" spans="1:10" x14ac:dyDescent="0.25">
      <c r="A445" s="1" t="s">
        <v>54</v>
      </c>
      <c r="B445" s="1" t="str">
        <f t="shared" si="12"/>
        <v>Sunday</v>
      </c>
      <c r="C445" s="1" t="str">
        <f>TEXT(Penjualan_Dimsum[[#This Row],[Tanggal]],"mmmm")</f>
        <v>June</v>
      </c>
      <c r="D445" s="1" t="str">
        <f t="shared" si="13"/>
        <v>Weekend</v>
      </c>
      <c r="E445" t="s">
        <v>26</v>
      </c>
      <c r="F445" t="s">
        <v>9</v>
      </c>
      <c r="G445">
        <v>13</v>
      </c>
      <c r="H445">
        <v>12000</v>
      </c>
      <c r="I445">
        <v>156000</v>
      </c>
      <c r="J445" t="s">
        <v>10</v>
      </c>
    </row>
    <row r="446" spans="1:10" x14ac:dyDescent="0.25">
      <c r="A446" s="1" t="s">
        <v>47</v>
      </c>
      <c r="B446" s="1" t="str">
        <f t="shared" si="12"/>
        <v>Friday</v>
      </c>
      <c r="C446" s="1" t="str">
        <f>TEXT(Penjualan_Dimsum[[#This Row],[Tanggal]],"mmmm")</f>
        <v>May</v>
      </c>
      <c r="D446" s="1" t="str">
        <f t="shared" si="13"/>
        <v>Weekday</v>
      </c>
      <c r="E446" t="s">
        <v>22</v>
      </c>
      <c r="F446" t="s">
        <v>9</v>
      </c>
      <c r="G446">
        <v>16</v>
      </c>
      <c r="H446">
        <v>12000</v>
      </c>
      <c r="I446">
        <v>192000</v>
      </c>
      <c r="J446" t="s">
        <v>13</v>
      </c>
    </row>
    <row r="447" spans="1:10" x14ac:dyDescent="0.25">
      <c r="A447" s="1" t="s">
        <v>19</v>
      </c>
      <c r="B447" s="1" t="str">
        <f t="shared" si="12"/>
        <v>Tuesday</v>
      </c>
      <c r="C447" s="1" t="str">
        <f>TEXT(Penjualan_Dimsum[[#This Row],[Tanggal]],"mmmm")</f>
        <v>June</v>
      </c>
      <c r="D447" s="1" t="str">
        <f t="shared" si="13"/>
        <v>Weekday</v>
      </c>
      <c r="E447" t="s">
        <v>26</v>
      </c>
      <c r="F447" t="s">
        <v>9</v>
      </c>
      <c r="G447">
        <v>4</v>
      </c>
      <c r="H447">
        <v>18000</v>
      </c>
      <c r="I447">
        <v>72000</v>
      </c>
      <c r="J447" t="s">
        <v>20</v>
      </c>
    </row>
    <row r="448" spans="1:10" x14ac:dyDescent="0.25">
      <c r="A448" s="1" t="s">
        <v>85</v>
      </c>
      <c r="B448" s="1" t="str">
        <f t="shared" si="12"/>
        <v>Tuesday</v>
      </c>
      <c r="C448" s="1" t="str">
        <f>TEXT(Penjualan_Dimsum[[#This Row],[Tanggal]],"mmmm")</f>
        <v>June</v>
      </c>
      <c r="D448" s="1" t="str">
        <f t="shared" si="13"/>
        <v>Weekday</v>
      </c>
      <c r="E448" t="s">
        <v>16</v>
      </c>
      <c r="F448" t="s">
        <v>9</v>
      </c>
      <c r="G448">
        <v>12</v>
      </c>
      <c r="H448">
        <v>20000</v>
      </c>
      <c r="I448">
        <v>240000</v>
      </c>
      <c r="J448" t="s">
        <v>10</v>
      </c>
    </row>
    <row r="449" spans="1:10" x14ac:dyDescent="0.25">
      <c r="A449" s="1" t="s">
        <v>33</v>
      </c>
      <c r="B449" s="1" t="str">
        <f t="shared" si="12"/>
        <v>Monday</v>
      </c>
      <c r="C449" s="1" t="str">
        <f>TEXT(Penjualan_Dimsum[[#This Row],[Tanggal]],"mmmm")</f>
        <v>April</v>
      </c>
      <c r="D449" s="1" t="str">
        <f t="shared" si="13"/>
        <v>Weekday</v>
      </c>
      <c r="E449" t="s">
        <v>22</v>
      </c>
      <c r="F449" t="s">
        <v>9</v>
      </c>
      <c r="G449">
        <v>8</v>
      </c>
      <c r="H449">
        <v>15000</v>
      </c>
      <c r="I449">
        <v>120000</v>
      </c>
      <c r="J449" t="s">
        <v>18</v>
      </c>
    </row>
    <row r="450" spans="1:10" x14ac:dyDescent="0.25">
      <c r="A450" s="1" t="s">
        <v>39</v>
      </c>
      <c r="B450" s="1" t="str">
        <f t="shared" si="12"/>
        <v>Thursday</v>
      </c>
      <c r="C450" s="1" t="str">
        <f>TEXT(Penjualan_Dimsum[[#This Row],[Tanggal]],"mmmm")</f>
        <v>April</v>
      </c>
      <c r="D450" s="1" t="str">
        <f t="shared" si="13"/>
        <v>Weekday</v>
      </c>
      <c r="E450" t="s">
        <v>8</v>
      </c>
      <c r="F450" t="s">
        <v>9</v>
      </c>
      <c r="G450">
        <v>3</v>
      </c>
      <c r="H450">
        <v>12000</v>
      </c>
      <c r="I450">
        <v>36000</v>
      </c>
      <c r="J450" t="s">
        <v>18</v>
      </c>
    </row>
    <row r="451" spans="1:10" x14ac:dyDescent="0.25">
      <c r="A451" s="1" t="s">
        <v>101</v>
      </c>
      <c r="B451" s="1" t="str">
        <f t="shared" ref="B451:B501" si="14">TEXT(A451,"DDDD")</f>
        <v>Wednesday</v>
      </c>
      <c r="C451" s="1" t="str">
        <f>TEXT(Penjualan_Dimsum[[#This Row],[Tanggal]],"mmmm")</f>
        <v>April</v>
      </c>
      <c r="D451" s="1" t="str">
        <f t="shared" ref="D451:D501" si="15">IF(OR(B451="Saturday",B451="Sunday"),"Weekend","Weekday")</f>
        <v>Weekday</v>
      </c>
      <c r="E451" t="s">
        <v>22</v>
      </c>
      <c r="F451" t="s">
        <v>9</v>
      </c>
      <c r="G451">
        <v>20</v>
      </c>
      <c r="H451">
        <v>18000</v>
      </c>
      <c r="I451">
        <v>360000</v>
      </c>
      <c r="J451" t="s">
        <v>18</v>
      </c>
    </row>
    <row r="452" spans="1:10" x14ac:dyDescent="0.25">
      <c r="A452" s="1" t="s">
        <v>83</v>
      </c>
      <c r="B452" s="1" t="str">
        <f t="shared" si="14"/>
        <v>Sunday</v>
      </c>
      <c r="C452" s="1" t="str">
        <f>TEXT(Penjualan_Dimsum[[#This Row],[Tanggal]],"mmmm")</f>
        <v>June</v>
      </c>
      <c r="D452" s="1" t="str">
        <f t="shared" si="15"/>
        <v>Weekend</v>
      </c>
      <c r="E452" t="s">
        <v>16</v>
      </c>
      <c r="F452" t="s">
        <v>9</v>
      </c>
      <c r="G452">
        <v>16</v>
      </c>
      <c r="H452">
        <v>15000</v>
      </c>
      <c r="I452">
        <v>240000</v>
      </c>
      <c r="J452" t="s">
        <v>10</v>
      </c>
    </row>
    <row r="453" spans="1:10" x14ac:dyDescent="0.25">
      <c r="A453" s="1" t="s">
        <v>51</v>
      </c>
      <c r="B453" s="1" t="str">
        <f t="shared" si="14"/>
        <v>Monday</v>
      </c>
      <c r="C453" s="1" t="str">
        <f>TEXT(Penjualan_Dimsum[[#This Row],[Tanggal]],"mmmm")</f>
        <v>June</v>
      </c>
      <c r="D453" s="1" t="str">
        <f t="shared" si="15"/>
        <v>Weekday</v>
      </c>
      <c r="E453" t="s">
        <v>26</v>
      </c>
      <c r="F453" t="s">
        <v>9</v>
      </c>
      <c r="G453">
        <v>17</v>
      </c>
      <c r="H453">
        <v>15000</v>
      </c>
      <c r="I453">
        <v>255000</v>
      </c>
      <c r="J453" t="s">
        <v>20</v>
      </c>
    </row>
    <row r="454" spans="1:10" x14ac:dyDescent="0.25">
      <c r="A454" s="1" t="s">
        <v>50</v>
      </c>
      <c r="B454" s="1" t="str">
        <f t="shared" si="14"/>
        <v>Tuesday</v>
      </c>
      <c r="C454" s="1" t="str">
        <f>TEXT(Penjualan_Dimsum[[#This Row],[Tanggal]],"mmmm")</f>
        <v>April</v>
      </c>
      <c r="D454" s="1" t="str">
        <f t="shared" si="15"/>
        <v>Weekday</v>
      </c>
      <c r="E454" t="s">
        <v>8</v>
      </c>
      <c r="F454" t="s">
        <v>9</v>
      </c>
      <c r="G454">
        <v>11</v>
      </c>
      <c r="H454">
        <v>12000</v>
      </c>
      <c r="I454">
        <v>132000</v>
      </c>
      <c r="J454" t="s">
        <v>10</v>
      </c>
    </row>
    <row r="455" spans="1:10" x14ac:dyDescent="0.25">
      <c r="A455" s="1" t="s">
        <v>98</v>
      </c>
      <c r="B455" s="1" t="str">
        <f t="shared" si="14"/>
        <v>Monday</v>
      </c>
      <c r="C455" s="1" t="str">
        <f>TEXT(Penjualan_Dimsum[[#This Row],[Tanggal]],"mmmm")</f>
        <v>April</v>
      </c>
      <c r="D455" s="1" t="str">
        <f t="shared" si="15"/>
        <v>Weekday</v>
      </c>
      <c r="E455" t="s">
        <v>16</v>
      </c>
      <c r="F455" t="s">
        <v>9</v>
      </c>
      <c r="G455">
        <v>2</v>
      </c>
      <c r="H455">
        <v>20000</v>
      </c>
      <c r="I455">
        <v>40000</v>
      </c>
      <c r="J455" t="s">
        <v>20</v>
      </c>
    </row>
    <row r="456" spans="1:10" x14ac:dyDescent="0.25">
      <c r="A456" s="1" t="s">
        <v>103</v>
      </c>
      <c r="B456" s="1" t="str">
        <f t="shared" si="14"/>
        <v>Monday</v>
      </c>
      <c r="C456" s="1" t="str">
        <f>TEXT(Penjualan_Dimsum[[#This Row],[Tanggal]],"mmmm")</f>
        <v>June</v>
      </c>
      <c r="D456" s="1" t="str">
        <f t="shared" si="15"/>
        <v>Weekday</v>
      </c>
      <c r="E456" t="s">
        <v>16</v>
      </c>
      <c r="F456" t="s">
        <v>9</v>
      </c>
      <c r="G456">
        <v>5</v>
      </c>
      <c r="H456">
        <v>15000</v>
      </c>
      <c r="I456">
        <v>75000</v>
      </c>
      <c r="J456" t="s">
        <v>13</v>
      </c>
    </row>
    <row r="457" spans="1:10" x14ac:dyDescent="0.25">
      <c r="A457" s="1" t="s">
        <v>72</v>
      </c>
      <c r="B457" s="1" t="str">
        <f t="shared" si="14"/>
        <v>Sunday</v>
      </c>
      <c r="C457" s="1" t="str">
        <f>TEXT(Penjualan_Dimsum[[#This Row],[Tanggal]],"mmmm")</f>
        <v>May</v>
      </c>
      <c r="D457" s="1" t="str">
        <f t="shared" si="15"/>
        <v>Weekend</v>
      </c>
      <c r="E457" t="s">
        <v>16</v>
      </c>
      <c r="F457" t="s">
        <v>9</v>
      </c>
      <c r="G457">
        <v>13</v>
      </c>
      <c r="H457">
        <v>18000</v>
      </c>
      <c r="I457">
        <v>234000</v>
      </c>
      <c r="J457" t="s">
        <v>13</v>
      </c>
    </row>
    <row r="458" spans="1:10" x14ac:dyDescent="0.25">
      <c r="A458" s="1" t="s">
        <v>42</v>
      </c>
      <c r="B458" s="1" t="str">
        <f t="shared" si="14"/>
        <v>Saturday</v>
      </c>
      <c r="C458" s="1" t="str">
        <f>TEXT(Penjualan_Dimsum[[#This Row],[Tanggal]],"mmmm")</f>
        <v>May</v>
      </c>
      <c r="D458" s="1" t="str">
        <f t="shared" si="15"/>
        <v>Weekend</v>
      </c>
      <c r="E458" t="s">
        <v>22</v>
      </c>
      <c r="F458" t="s">
        <v>9</v>
      </c>
      <c r="G458">
        <v>1</v>
      </c>
      <c r="H458">
        <v>12000</v>
      </c>
      <c r="I458">
        <v>12000</v>
      </c>
      <c r="J458" t="s">
        <v>10</v>
      </c>
    </row>
    <row r="459" spans="1:10" x14ac:dyDescent="0.25">
      <c r="A459" s="1" t="s">
        <v>66</v>
      </c>
      <c r="B459" s="1" t="str">
        <f t="shared" si="14"/>
        <v>Tuesday</v>
      </c>
      <c r="C459" s="1" t="str">
        <f>TEXT(Penjualan_Dimsum[[#This Row],[Tanggal]],"mmmm")</f>
        <v>April</v>
      </c>
      <c r="D459" s="1" t="str">
        <f t="shared" si="15"/>
        <v>Weekday</v>
      </c>
      <c r="E459" t="s">
        <v>12</v>
      </c>
      <c r="F459" t="s">
        <v>9</v>
      </c>
      <c r="G459">
        <v>14</v>
      </c>
      <c r="H459">
        <v>18000</v>
      </c>
      <c r="I459">
        <v>252000</v>
      </c>
      <c r="J459" t="s">
        <v>13</v>
      </c>
    </row>
    <row r="460" spans="1:10" x14ac:dyDescent="0.25">
      <c r="A460" s="1" t="s">
        <v>61</v>
      </c>
      <c r="B460" s="1" t="str">
        <f t="shared" si="14"/>
        <v>Wednesday</v>
      </c>
      <c r="C460" s="1" t="str">
        <f>TEXT(Penjualan_Dimsum[[#This Row],[Tanggal]],"mmmm")</f>
        <v>May</v>
      </c>
      <c r="D460" s="1" t="str">
        <f t="shared" si="15"/>
        <v>Weekday</v>
      </c>
      <c r="E460" t="s">
        <v>22</v>
      </c>
      <c r="F460" t="s">
        <v>9</v>
      </c>
      <c r="G460">
        <v>17</v>
      </c>
      <c r="H460">
        <v>18000</v>
      </c>
      <c r="I460">
        <v>306000</v>
      </c>
      <c r="J460" t="s">
        <v>10</v>
      </c>
    </row>
    <row r="461" spans="1:10" x14ac:dyDescent="0.25">
      <c r="A461" s="1" t="s">
        <v>30</v>
      </c>
      <c r="B461" s="1" t="str">
        <f t="shared" si="14"/>
        <v>Friday</v>
      </c>
      <c r="C461" s="1" t="str">
        <f>TEXT(Penjualan_Dimsum[[#This Row],[Tanggal]],"mmmm")</f>
        <v>April</v>
      </c>
      <c r="D461" s="1" t="str">
        <f t="shared" si="15"/>
        <v>Weekday</v>
      </c>
      <c r="E461" t="s">
        <v>12</v>
      </c>
      <c r="F461" t="s">
        <v>9</v>
      </c>
      <c r="G461">
        <v>11</v>
      </c>
      <c r="H461">
        <v>12000</v>
      </c>
      <c r="I461">
        <v>132000</v>
      </c>
      <c r="J461" t="s">
        <v>13</v>
      </c>
    </row>
    <row r="462" spans="1:10" x14ac:dyDescent="0.25">
      <c r="A462" s="1" t="s">
        <v>27</v>
      </c>
      <c r="B462" s="1" t="str">
        <f t="shared" si="14"/>
        <v>Sunday</v>
      </c>
      <c r="C462" s="1" t="str">
        <f>TEXT(Penjualan_Dimsum[[#This Row],[Tanggal]],"mmmm")</f>
        <v>June</v>
      </c>
      <c r="D462" s="1" t="str">
        <f t="shared" si="15"/>
        <v>Weekend</v>
      </c>
      <c r="E462" t="s">
        <v>16</v>
      </c>
      <c r="F462" t="s">
        <v>9</v>
      </c>
      <c r="G462">
        <v>14</v>
      </c>
      <c r="H462">
        <v>20000</v>
      </c>
      <c r="I462">
        <v>280000</v>
      </c>
      <c r="J462" t="s">
        <v>18</v>
      </c>
    </row>
    <row r="463" spans="1:10" x14ac:dyDescent="0.25">
      <c r="A463" s="1" t="s">
        <v>75</v>
      </c>
      <c r="B463" s="1" t="str">
        <f t="shared" si="14"/>
        <v>Monday</v>
      </c>
      <c r="C463" s="1" t="str">
        <f>TEXT(Penjualan_Dimsum[[#This Row],[Tanggal]],"mmmm")</f>
        <v>May</v>
      </c>
      <c r="D463" s="1" t="str">
        <f t="shared" si="15"/>
        <v>Weekday</v>
      </c>
      <c r="E463" t="s">
        <v>22</v>
      </c>
      <c r="F463" t="s">
        <v>9</v>
      </c>
      <c r="G463">
        <v>4</v>
      </c>
      <c r="H463">
        <v>12000</v>
      </c>
      <c r="I463">
        <v>48000</v>
      </c>
      <c r="J463" t="s">
        <v>18</v>
      </c>
    </row>
    <row r="464" spans="1:10" x14ac:dyDescent="0.25">
      <c r="A464" s="1" t="s">
        <v>36</v>
      </c>
      <c r="B464" s="1" t="str">
        <f t="shared" si="14"/>
        <v>Sunday</v>
      </c>
      <c r="C464" s="1" t="str">
        <f>TEXT(Penjualan_Dimsum[[#This Row],[Tanggal]],"mmmm")</f>
        <v>June</v>
      </c>
      <c r="D464" s="1" t="str">
        <f t="shared" si="15"/>
        <v>Weekend</v>
      </c>
      <c r="E464" t="s">
        <v>26</v>
      </c>
      <c r="F464" t="s">
        <v>9</v>
      </c>
      <c r="G464">
        <v>6</v>
      </c>
      <c r="H464">
        <v>18000</v>
      </c>
      <c r="I464">
        <v>108000</v>
      </c>
      <c r="J464" t="s">
        <v>18</v>
      </c>
    </row>
    <row r="465" spans="1:10" x14ac:dyDescent="0.25">
      <c r="A465" s="1" t="s">
        <v>61</v>
      </c>
      <c r="B465" s="1" t="str">
        <f t="shared" si="14"/>
        <v>Wednesday</v>
      </c>
      <c r="C465" s="1" t="str">
        <f>TEXT(Penjualan_Dimsum[[#This Row],[Tanggal]],"mmmm")</f>
        <v>May</v>
      </c>
      <c r="D465" s="1" t="str">
        <f t="shared" si="15"/>
        <v>Weekday</v>
      </c>
      <c r="E465" t="s">
        <v>26</v>
      </c>
      <c r="F465" t="s">
        <v>9</v>
      </c>
      <c r="G465">
        <v>2</v>
      </c>
      <c r="H465">
        <v>12000</v>
      </c>
      <c r="I465">
        <v>24000</v>
      </c>
      <c r="J465" t="s">
        <v>13</v>
      </c>
    </row>
    <row r="466" spans="1:10" x14ac:dyDescent="0.25">
      <c r="A466" s="1" t="s">
        <v>45</v>
      </c>
      <c r="B466" s="1" t="str">
        <f t="shared" si="14"/>
        <v>Saturday</v>
      </c>
      <c r="C466" s="1" t="str">
        <f>TEXT(Penjualan_Dimsum[[#This Row],[Tanggal]],"mmmm")</f>
        <v>May</v>
      </c>
      <c r="D466" s="1" t="str">
        <f t="shared" si="15"/>
        <v>Weekend</v>
      </c>
      <c r="E466" t="s">
        <v>12</v>
      </c>
      <c r="F466" t="s">
        <v>9</v>
      </c>
      <c r="G466">
        <v>14</v>
      </c>
      <c r="H466">
        <v>15000</v>
      </c>
      <c r="I466">
        <v>210000</v>
      </c>
      <c r="J466" t="s">
        <v>18</v>
      </c>
    </row>
    <row r="467" spans="1:10" x14ac:dyDescent="0.25">
      <c r="A467" s="1" t="s">
        <v>97</v>
      </c>
      <c r="B467" s="1" t="str">
        <f t="shared" si="14"/>
        <v>Thursday</v>
      </c>
      <c r="C467" s="1" t="str">
        <f>TEXT(Penjualan_Dimsum[[#This Row],[Tanggal]],"mmmm")</f>
        <v>May</v>
      </c>
      <c r="D467" s="1" t="str">
        <f t="shared" si="15"/>
        <v>Weekday</v>
      </c>
      <c r="E467" t="s">
        <v>16</v>
      </c>
      <c r="F467" t="s">
        <v>9</v>
      </c>
      <c r="G467">
        <v>14</v>
      </c>
      <c r="H467">
        <v>20000</v>
      </c>
      <c r="I467">
        <v>280000</v>
      </c>
      <c r="J467" t="s">
        <v>20</v>
      </c>
    </row>
    <row r="468" spans="1:10" x14ac:dyDescent="0.25">
      <c r="A468" s="1" t="s">
        <v>41</v>
      </c>
      <c r="B468" s="1" t="str">
        <f t="shared" si="14"/>
        <v>Sunday</v>
      </c>
      <c r="C468" s="1" t="str">
        <f>TEXT(Penjualan_Dimsum[[#This Row],[Tanggal]],"mmmm")</f>
        <v>April</v>
      </c>
      <c r="D468" s="1" t="str">
        <f t="shared" si="15"/>
        <v>Weekend</v>
      </c>
      <c r="E468" t="s">
        <v>8</v>
      </c>
      <c r="F468" t="s">
        <v>9</v>
      </c>
      <c r="G468">
        <v>20</v>
      </c>
      <c r="H468">
        <v>20000</v>
      </c>
      <c r="I468">
        <v>400000</v>
      </c>
      <c r="J468" t="s">
        <v>10</v>
      </c>
    </row>
    <row r="469" spans="1:10" x14ac:dyDescent="0.25">
      <c r="A469" s="1" t="s">
        <v>40</v>
      </c>
      <c r="B469" s="1" t="str">
        <f t="shared" si="14"/>
        <v>Thursday</v>
      </c>
      <c r="C469" s="1" t="str">
        <f>TEXT(Penjualan_Dimsum[[#This Row],[Tanggal]],"mmmm")</f>
        <v>June</v>
      </c>
      <c r="D469" s="1" t="str">
        <f t="shared" si="15"/>
        <v>Weekday</v>
      </c>
      <c r="E469" t="s">
        <v>16</v>
      </c>
      <c r="F469" t="s">
        <v>9</v>
      </c>
      <c r="G469">
        <v>4</v>
      </c>
      <c r="H469">
        <v>18000</v>
      </c>
      <c r="I469">
        <v>72000</v>
      </c>
      <c r="J469" t="s">
        <v>13</v>
      </c>
    </row>
    <row r="470" spans="1:10" x14ac:dyDescent="0.25">
      <c r="A470" s="1" t="s">
        <v>31</v>
      </c>
      <c r="B470" s="1" t="str">
        <f t="shared" si="14"/>
        <v>Sunday</v>
      </c>
      <c r="C470" s="1" t="str">
        <f>TEXT(Penjualan_Dimsum[[#This Row],[Tanggal]],"mmmm")</f>
        <v>April</v>
      </c>
      <c r="D470" s="1" t="str">
        <f t="shared" si="15"/>
        <v>Weekend</v>
      </c>
      <c r="E470" t="s">
        <v>26</v>
      </c>
      <c r="F470" t="s">
        <v>9</v>
      </c>
      <c r="G470">
        <v>16</v>
      </c>
      <c r="H470">
        <v>12000</v>
      </c>
      <c r="I470">
        <v>192000</v>
      </c>
      <c r="J470" t="s">
        <v>18</v>
      </c>
    </row>
    <row r="471" spans="1:10" x14ac:dyDescent="0.25">
      <c r="A471" s="1" t="s">
        <v>44</v>
      </c>
      <c r="B471" s="1" t="str">
        <f t="shared" si="14"/>
        <v>Friday</v>
      </c>
      <c r="C471" s="1" t="str">
        <f>TEXT(Penjualan_Dimsum[[#This Row],[Tanggal]],"mmmm")</f>
        <v>April</v>
      </c>
      <c r="D471" s="1" t="str">
        <f t="shared" si="15"/>
        <v>Weekday</v>
      </c>
      <c r="E471" t="s">
        <v>22</v>
      </c>
      <c r="F471" t="s">
        <v>9</v>
      </c>
      <c r="G471">
        <v>9</v>
      </c>
      <c r="H471">
        <v>15000</v>
      </c>
      <c r="I471">
        <v>135000</v>
      </c>
      <c r="J471" t="s">
        <v>13</v>
      </c>
    </row>
    <row r="472" spans="1:10" x14ac:dyDescent="0.25">
      <c r="A472" s="1" t="s">
        <v>25</v>
      </c>
      <c r="B472" s="1" t="str">
        <f t="shared" si="14"/>
        <v>Friday</v>
      </c>
      <c r="C472" s="1" t="str">
        <f>TEXT(Penjualan_Dimsum[[#This Row],[Tanggal]],"mmmm")</f>
        <v>May</v>
      </c>
      <c r="D472" s="1" t="str">
        <f t="shared" si="15"/>
        <v>Weekday</v>
      </c>
      <c r="E472" t="s">
        <v>8</v>
      </c>
      <c r="F472" t="s">
        <v>9</v>
      </c>
      <c r="G472">
        <v>8</v>
      </c>
      <c r="H472">
        <v>18000</v>
      </c>
      <c r="I472">
        <v>144000</v>
      </c>
      <c r="J472" t="s">
        <v>18</v>
      </c>
    </row>
    <row r="473" spans="1:10" x14ac:dyDescent="0.25">
      <c r="A473" s="1" t="s">
        <v>56</v>
      </c>
      <c r="B473" s="1" t="str">
        <f t="shared" si="14"/>
        <v>Friday</v>
      </c>
      <c r="C473" s="1" t="str">
        <f>TEXT(Penjualan_Dimsum[[#This Row],[Tanggal]],"mmmm")</f>
        <v>May</v>
      </c>
      <c r="D473" s="1" t="str">
        <f t="shared" si="15"/>
        <v>Weekday</v>
      </c>
      <c r="E473" t="s">
        <v>12</v>
      </c>
      <c r="F473" t="s">
        <v>9</v>
      </c>
      <c r="G473">
        <v>2</v>
      </c>
      <c r="H473">
        <v>15000</v>
      </c>
      <c r="I473">
        <v>30000</v>
      </c>
      <c r="J473" t="s">
        <v>13</v>
      </c>
    </row>
    <row r="474" spans="1:10" x14ac:dyDescent="0.25">
      <c r="A474" s="1" t="s">
        <v>54</v>
      </c>
      <c r="B474" s="1" t="str">
        <f t="shared" si="14"/>
        <v>Sunday</v>
      </c>
      <c r="C474" s="1" t="str">
        <f>TEXT(Penjualan_Dimsum[[#This Row],[Tanggal]],"mmmm")</f>
        <v>June</v>
      </c>
      <c r="D474" s="1" t="str">
        <f t="shared" si="15"/>
        <v>Weekend</v>
      </c>
      <c r="E474" t="s">
        <v>8</v>
      </c>
      <c r="F474" t="s">
        <v>9</v>
      </c>
      <c r="G474">
        <v>13</v>
      </c>
      <c r="H474">
        <v>15000</v>
      </c>
      <c r="I474">
        <v>195000</v>
      </c>
      <c r="J474" t="s">
        <v>13</v>
      </c>
    </row>
    <row r="475" spans="1:10" x14ac:dyDescent="0.25">
      <c r="A475" s="1" t="s">
        <v>42</v>
      </c>
      <c r="B475" s="1" t="str">
        <f t="shared" si="14"/>
        <v>Saturday</v>
      </c>
      <c r="C475" s="1" t="str">
        <f>TEXT(Penjualan_Dimsum[[#This Row],[Tanggal]],"mmmm")</f>
        <v>May</v>
      </c>
      <c r="D475" s="1" t="str">
        <f t="shared" si="15"/>
        <v>Weekend</v>
      </c>
      <c r="E475" t="s">
        <v>26</v>
      </c>
      <c r="F475" t="s">
        <v>9</v>
      </c>
      <c r="G475">
        <v>14</v>
      </c>
      <c r="H475">
        <v>15000</v>
      </c>
      <c r="I475">
        <v>210000</v>
      </c>
      <c r="J475" t="s">
        <v>18</v>
      </c>
    </row>
    <row r="476" spans="1:10" x14ac:dyDescent="0.25">
      <c r="A476" s="1" t="s">
        <v>56</v>
      </c>
      <c r="B476" s="1" t="str">
        <f t="shared" si="14"/>
        <v>Friday</v>
      </c>
      <c r="C476" s="1" t="str">
        <f>TEXT(Penjualan_Dimsum[[#This Row],[Tanggal]],"mmmm")</f>
        <v>May</v>
      </c>
      <c r="D476" s="1" t="str">
        <f t="shared" si="15"/>
        <v>Weekday</v>
      </c>
      <c r="E476" t="s">
        <v>16</v>
      </c>
      <c r="F476" t="s">
        <v>9</v>
      </c>
      <c r="G476">
        <v>10</v>
      </c>
      <c r="H476">
        <v>18000</v>
      </c>
      <c r="I476">
        <v>180000</v>
      </c>
      <c r="J476" t="s">
        <v>10</v>
      </c>
    </row>
    <row r="477" spans="1:10" x14ac:dyDescent="0.25">
      <c r="A477" s="1" t="s">
        <v>29</v>
      </c>
      <c r="B477" s="1" t="str">
        <f t="shared" si="14"/>
        <v>Thursday</v>
      </c>
      <c r="C477" s="1" t="str">
        <f>TEXT(Penjualan_Dimsum[[#This Row],[Tanggal]],"mmmm")</f>
        <v>April</v>
      </c>
      <c r="D477" s="1" t="str">
        <f t="shared" si="15"/>
        <v>Weekday</v>
      </c>
      <c r="E477" t="s">
        <v>8</v>
      </c>
      <c r="F477" t="s">
        <v>9</v>
      </c>
      <c r="G477">
        <v>6</v>
      </c>
      <c r="H477">
        <v>18000</v>
      </c>
      <c r="I477">
        <v>108000</v>
      </c>
      <c r="J477" t="s">
        <v>10</v>
      </c>
    </row>
    <row r="478" spans="1:10" x14ac:dyDescent="0.25">
      <c r="A478" s="1" t="s">
        <v>39</v>
      </c>
      <c r="B478" s="1" t="str">
        <f t="shared" si="14"/>
        <v>Thursday</v>
      </c>
      <c r="C478" s="1" t="str">
        <f>TEXT(Penjualan_Dimsum[[#This Row],[Tanggal]],"mmmm")</f>
        <v>April</v>
      </c>
      <c r="D478" s="1" t="str">
        <f t="shared" si="15"/>
        <v>Weekday</v>
      </c>
      <c r="E478" t="s">
        <v>22</v>
      </c>
      <c r="F478" t="s">
        <v>9</v>
      </c>
      <c r="G478">
        <v>4</v>
      </c>
      <c r="H478">
        <v>12000</v>
      </c>
      <c r="I478">
        <v>48000</v>
      </c>
      <c r="J478" t="s">
        <v>13</v>
      </c>
    </row>
    <row r="479" spans="1:10" x14ac:dyDescent="0.25">
      <c r="A479" s="1" t="s">
        <v>37</v>
      </c>
      <c r="B479" s="1" t="str">
        <f t="shared" si="14"/>
        <v>Thursday</v>
      </c>
      <c r="C479" s="1" t="str">
        <f>TEXT(Penjualan_Dimsum[[#This Row],[Tanggal]],"mmmm")</f>
        <v>April</v>
      </c>
      <c r="D479" s="1" t="str">
        <f t="shared" si="15"/>
        <v>Weekday</v>
      </c>
      <c r="E479" t="s">
        <v>16</v>
      </c>
      <c r="F479" t="s">
        <v>9</v>
      </c>
      <c r="G479">
        <v>17</v>
      </c>
      <c r="H479">
        <v>20000</v>
      </c>
      <c r="I479">
        <v>340000</v>
      </c>
      <c r="J479" t="s">
        <v>18</v>
      </c>
    </row>
    <row r="480" spans="1:10" x14ac:dyDescent="0.25">
      <c r="A480" s="1" t="s">
        <v>24</v>
      </c>
      <c r="B480" s="1" t="str">
        <f t="shared" si="14"/>
        <v>Wednesday</v>
      </c>
      <c r="C480" s="1" t="str">
        <f>TEXT(Penjualan_Dimsum[[#This Row],[Tanggal]],"mmmm")</f>
        <v>June</v>
      </c>
      <c r="D480" s="1" t="str">
        <f t="shared" si="15"/>
        <v>Weekday</v>
      </c>
      <c r="E480" t="s">
        <v>22</v>
      </c>
      <c r="F480" t="s">
        <v>9</v>
      </c>
      <c r="G480">
        <v>7</v>
      </c>
      <c r="H480">
        <v>12000</v>
      </c>
      <c r="I480">
        <v>84000</v>
      </c>
      <c r="J480" t="s">
        <v>13</v>
      </c>
    </row>
    <row r="481" spans="1:10" x14ac:dyDescent="0.25">
      <c r="A481" s="1" t="s">
        <v>73</v>
      </c>
      <c r="B481" s="1" t="str">
        <f t="shared" si="14"/>
        <v>Tuesday</v>
      </c>
      <c r="C481" s="1" t="str">
        <f>TEXT(Penjualan_Dimsum[[#This Row],[Tanggal]],"mmmm")</f>
        <v>May</v>
      </c>
      <c r="D481" s="1" t="str">
        <f t="shared" si="15"/>
        <v>Weekday</v>
      </c>
      <c r="E481" t="s">
        <v>26</v>
      </c>
      <c r="F481" t="s">
        <v>9</v>
      </c>
      <c r="G481">
        <v>19</v>
      </c>
      <c r="H481">
        <v>15000</v>
      </c>
      <c r="I481">
        <v>285000</v>
      </c>
      <c r="J481" t="s">
        <v>13</v>
      </c>
    </row>
    <row r="482" spans="1:10" x14ac:dyDescent="0.25">
      <c r="A482" s="1" t="s">
        <v>32</v>
      </c>
      <c r="B482" s="1" t="str">
        <f t="shared" si="14"/>
        <v>Tuesday</v>
      </c>
      <c r="C482" s="1" t="str">
        <f>TEXT(Penjualan_Dimsum[[#This Row],[Tanggal]],"mmmm")</f>
        <v>May</v>
      </c>
      <c r="D482" s="1" t="str">
        <f t="shared" si="15"/>
        <v>Weekday</v>
      </c>
      <c r="E482" t="s">
        <v>12</v>
      </c>
      <c r="F482" t="s">
        <v>9</v>
      </c>
      <c r="G482">
        <v>8</v>
      </c>
      <c r="H482">
        <v>15000</v>
      </c>
      <c r="I482">
        <v>120000</v>
      </c>
      <c r="J482" t="s">
        <v>20</v>
      </c>
    </row>
    <row r="483" spans="1:10" x14ac:dyDescent="0.25">
      <c r="A483" s="1" t="s">
        <v>75</v>
      </c>
      <c r="B483" s="1" t="str">
        <f t="shared" si="14"/>
        <v>Monday</v>
      </c>
      <c r="C483" s="1" t="str">
        <f>TEXT(Penjualan_Dimsum[[#This Row],[Tanggal]],"mmmm")</f>
        <v>May</v>
      </c>
      <c r="D483" s="1" t="str">
        <f t="shared" si="15"/>
        <v>Weekday</v>
      </c>
      <c r="E483" t="s">
        <v>16</v>
      </c>
      <c r="F483" t="s">
        <v>9</v>
      </c>
      <c r="G483">
        <v>2</v>
      </c>
      <c r="H483">
        <v>20000</v>
      </c>
      <c r="I483">
        <v>40000</v>
      </c>
      <c r="J483" t="s">
        <v>18</v>
      </c>
    </row>
    <row r="484" spans="1:10" x14ac:dyDescent="0.25">
      <c r="A484" s="1" t="s">
        <v>78</v>
      </c>
      <c r="B484" s="1" t="str">
        <f t="shared" si="14"/>
        <v>Friday</v>
      </c>
      <c r="C484" s="1" t="str">
        <f>TEXT(Penjualan_Dimsum[[#This Row],[Tanggal]],"mmmm")</f>
        <v>April</v>
      </c>
      <c r="D484" s="1" t="str">
        <f t="shared" si="15"/>
        <v>Weekday</v>
      </c>
      <c r="E484" t="s">
        <v>8</v>
      </c>
      <c r="F484" t="s">
        <v>9</v>
      </c>
      <c r="G484">
        <v>14</v>
      </c>
      <c r="H484">
        <v>12000</v>
      </c>
      <c r="I484">
        <v>168000</v>
      </c>
      <c r="J484" t="s">
        <v>10</v>
      </c>
    </row>
    <row r="485" spans="1:10" x14ac:dyDescent="0.25">
      <c r="A485" s="1" t="s">
        <v>31</v>
      </c>
      <c r="B485" s="1" t="str">
        <f t="shared" si="14"/>
        <v>Sunday</v>
      </c>
      <c r="C485" s="1" t="str">
        <f>TEXT(Penjualan_Dimsum[[#This Row],[Tanggal]],"mmmm")</f>
        <v>April</v>
      </c>
      <c r="D485" s="1" t="str">
        <f t="shared" si="15"/>
        <v>Weekend</v>
      </c>
      <c r="E485" t="s">
        <v>8</v>
      </c>
      <c r="F485" t="s">
        <v>9</v>
      </c>
      <c r="G485">
        <v>11</v>
      </c>
      <c r="H485">
        <v>20000</v>
      </c>
      <c r="I485">
        <v>220000</v>
      </c>
      <c r="J485" t="s">
        <v>13</v>
      </c>
    </row>
    <row r="486" spans="1:10" x14ac:dyDescent="0.25">
      <c r="A486" s="1" t="s">
        <v>94</v>
      </c>
      <c r="B486" s="1" t="str">
        <f t="shared" si="14"/>
        <v>Saturday</v>
      </c>
      <c r="C486" s="1" t="str">
        <f>TEXT(Penjualan_Dimsum[[#This Row],[Tanggal]],"mmmm")</f>
        <v>April</v>
      </c>
      <c r="D486" s="1" t="str">
        <f t="shared" si="15"/>
        <v>Weekend</v>
      </c>
      <c r="E486" t="s">
        <v>8</v>
      </c>
      <c r="F486" t="s">
        <v>9</v>
      </c>
      <c r="G486">
        <v>4</v>
      </c>
      <c r="H486">
        <v>20000</v>
      </c>
      <c r="I486">
        <v>80000</v>
      </c>
      <c r="J486" t="s">
        <v>20</v>
      </c>
    </row>
    <row r="487" spans="1:10" x14ac:dyDescent="0.25">
      <c r="A487" s="1" t="s">
        <v>86</v>
      </c>
      <c r="B487" s="1" t="str">
        <f t="shared" si="14"/>
        <v>Sunday</v>
      </c>
      <c r="C487" s="1" t="str">
        <f>TEXT(Penjualan_Dimsum[[#This Row],[Tanggal]],"mmmm")</f>
        <v>April</v>
      </c>
      <c r="D487" s="1" t="str">
        <f t="shared" si="15"/>
        <v>Weekend</v>
      </c>
      <c r="E487" t="s">
        <v>8</v>
      </c>
      <c r="F487" t="s">
        <v>9</v>
      </c>
      <c r="G487">
        <v>10</v>
      </c>
      <c r="H487">
        <v>18000</v>
      </c>
      <c r="I487">
        <v>180000</v>
      </c>
      <c r="J487" t="s">
        <v>13</v>
      </c>
    </row>
    <row r="488" spans="1:10" x14ac:dyDescent="0.25">
      <c r="A488" s="1" t="s">
        <v>21</v>
      </c>
      <c r="B488" s="1" t="str">
        <f t="shared" si="14"/>
        <v>Thursday</v>
      </c>
      <c r="C488" s="1" t="str">
        <f>TEXT(Penjualan_Dimsum[[#This Row],[Tanggal]],"mmmm")</f>
        <v>May</v>
      </c>
      <c r="D488" s="1" t="str">
        <f t="shared" si="15"/>
        <v>Weekday</v>
      </c>
      <c r="E488" t="s">
        <v>22</v>
      </c>
      <c r="F488" t="s">
        <v>9</v>
      </c>
      <c r="G488">
        <v>8</v>
      </c>
      <c r="H488">
        <v>18000</v>
      </c>
      <c r="I488">
        <v>144000</v>
      </c>
      <c r="J488" t="s">
        <v>18</v>
      </c>
    </row>
    <row r="489" spans="1:10" x14ac:dyDescent="0.25">
      <c r="A489" s="1" t="s">
        <v>47</v>
      </c>
      <c r="B489" s="1" t="str">
        <f t="shared" si="14"/>
        <v>Friday</v>
      </c>
      <c r="C489" s="1" t="str">
        <f>TEXT(Penjualan_Dimsum[[#This Row],[Tanggal]],"mmmm")</f>
        <v>May</v>
      </c>
      <c r="D489" s="1" t="str">
        <f t="shared" si="15"/>
        <v>Weekday</v>
      </c>
      <c r="E489" t="s">
        <v>26</v>
      </c>
      <c r="F489" t="s">
        <v>9</v>
      </c>
      <c r="G489">
        <v>16</v>
      </c>
      <c r="H489">
        <v>15000</v>
      </c>
      <c r="I489">
        <v>240000</v>
      </c>
      <c r="J489" t="s">
        <v>10</v>
      </c>
    </row>
    <row r="490" spans="1:10" x14ac:dyDescent="0.25">
      <c r="A490" s="1" t="s">
        <v>88</v>
      </c>
      <c r="B490" s="1" t="str">
        <f t="shared" si="14"/>
        <v>Tuesday</v>
      </c>
      <c r="C490" s="1" t="str">
        <f>TEXT(Penjualan_Dimsum[[#This Row],[Tanggal]],"mmmm")</f>
        <v>May</v>
      </c>
      <c r="D490" s="1" t="str">
        <f t="shared" si="15"/>
        <v>Weekday</v>
      </c>
      <c r="E490" t="s">
        <v>16</v>
      </c>
      <c r="F490" t="s">
        <v>9</v>
      </c>
      <c r="G490">
        <v>1</v>
      </c>
      <c r="H490">
        <v>15000</v>
      </c>
      <c r="I490">
        <v>15000</v>
      </c>
      <c r="J490" t="s">
        <v>20</v>
      </c>
    </row>
    <row r="491" spans="1:10" x14ac:dyDescent="0.25">
      <c r="A491" s="1" t="s">
        <v>58</v>
      </c>
      <c r="B491" s="1" t="str">
        <f t="shared" si="14"/>
        <v>Monday</v>
      </c>
      <c r="C491" s="1" t="str">
        <f>TEXT(Penjualan_Dimsum[[#This Row],[Tanggal]],"mmmm")</f>
        <v>April</v>
      </c>
      <c r="D491" s="1" t="str">
        <f t="shared" si="15"/>
        <v>Weekday</v>
      </c>
      <c r="E491" t="s">
        <v>12</v>
      </c>
      <c r="F491" t="s">
        <v>9</v>
      </c>
      <c r="G491">
        <v>19</v>
      </c>
      <c r="H491">
        <v>20000</v>
      </c>
      <c r="I491">
        <v>380000</v>
      </c>
      <c r="J491" t="s">
        <v>20</v>
      </c>
    </row>
    <row r="492" spans="1:10" x14ac:dyDescent="0.25">
      <c r="A492" s="1" t="s">
        <v>40</v>
      </c>
      <c r="B492" s="1" t="str">
        <f t="shared" si="14"/>
        <v>Thursday</v>
      </c>
      <c r="C492" s="1" t="str">
        <f>TEXT(Penjualan_Dimsum[[#This Row],[Tanggal]],"mmmm")</f>
        <v>June</v>
      </c>
      <c r="D492" s="1" t="str">
        <f t="shared" si="15"/>
        <v>Weekday</v>
      </c>
      <c r="E492" t="s">
        <v>26</v>
      </c>
      <c r="F492" t="s">
        <v>9</v>
      </c>
      <c r="G492">
        <v>16</v>
      </c>
      <c r="H492">
        <v>15000</v>
      </c>
      <c r="I492">
        <v>240000</v>
      </c>
      <c r="J492" t="s">
        <v>20</v>
      </c>
    </row>
    <row r="493" spans="1:10" x14ac:dyDescent="0.25">
      <c r="A493" s="1" t="s">
        <v>47</v>
      </c>
      <c r="B493" s="1" t="str">
        <f t="shared" si="14"/>
        <v>Friday</v>
      </c>
      <c r="C493" s="1" t="str">
        <f>TEXT(Penjualan_Dimsum[[#This Row],[Tanggal]],"mmmm")</f>
        <v>May</v>
      </c>
      <c r="D493" s="1" t="str">
        <f t="shared" si="15"/>
        <v>Weekday</v>
      </c>
      <c r="E493" t="s">
        <v>26</v>
      </c>
      <c r="F493" t="s">
        <v>9</v>
      </c>
      <c r="G493">
        <v>9</v>
      </c>
      <c r="H493">
        <v>15000</v>
      </c>
      <c r="I493">
        <v>135000</v>
      </c>
      <c r="J493" t="s">
        <v>20</v>
      </c>
    </row>
    <row r="494" spans="1:10" x14ac:dyDescent="0.25">
      <c r="A494" s="1" t="s">
        <v>53</v>
      </c>
      <c r="B494" s="1" t="str">
        <f t="shared" si="14"/>
        <v>Saturday</v>
      </c>
      <c r="C494" s="1" t="str">
        <f>TEXT(Penjualan_Dimsum[[#This Row],[Tanggal]],"mmmm")</f>
        <v>April</v>
      </c>
      <c r="D494" s="1" t="str">
        <f t="shared" si="15"/>
        <v>Weekend</v>
      </c>
      <c r="E494" t="s">
        <v>8</v>
      </c>
      <c r="F494" t="s">
        <v>9</v>
      </c>
      <c r="G494">
        <v>14</v>
      </c>
      <c r="H494">
        <v>15000</v>
      </c>
      <c r="I494">
        <v>210000</v>
      </c>
      <c r="J494" t="s">
        <v>10</v>
      </c>
    </row>
    <row r="495" spans="1:10" x14ac:dyDescent="0.25">
      <c r="A495" s="1" t="s">
        <v>40</v>
      </c>
      <c r="B495" s="1" t="str">
        <f t="shared" si="14"/>
        <v>Thursday</v>
      </c>
      <c r="C495" s="1" t="str">
        <f>TEXT(Penjualan_Dimsum[[#This Row],[Tanggal]],"mmmm")</f>
        <v>June</v>
      </c>
      <c r="D495" s="1" t="str">
        <f t="shared" si="15"/>
        <v>Weekday</v>
      </c>
      <c r="E495" t="s">
        <v>8</v>
      </c>
      <c r="F495" t="s">
        <v>9</v>
      </c>
      <c r="G495">
        <v>15</v>
      </c>
      <c r="H495">
        <v>20000</v>
      </c>
      <c r="I495">
        <v>300000</v>
      </c>
      <c r="J495" t="s">
        <v>13</v>
      </c>
    </row>
    <row r="496" spans="1:10" x14ac:dyDescent="0.25">
      <c r="A496" s="1" t="s">
        <v>28</v>
      </c>
      <c r="B496" s="1" t="str">
        <f t="shared" si="14"/>
        <v>Tuesday</v>
      </c>
      <c r="C496" s="1" t="str">
        <f>TEXT(Penjualan_Dimsum[[#This Row],[Tanggal]],"mmmm")</f>
        <v>June</v>
      </c>
      <c r="D496" s="1" t="str">
        <f t="shared" si="15"/>
        <v>Weekday</v>
      </c>
      <c r="E496" t="s">
        <v>8</v>
      </c>
      <c r="F496" t="s">
        <v>9</v>
      </c>
      <c r="G496">
        <v>14</v>
      </c>
      <c r="H496">
        <v>18000</v>
      </c>
      <c r="I496">
        <v>252000</v>
      </c>
      <c r="J496" t="s">
        <v>18</v>
      </c>
    </row>
    <row r="497" spans="1:10" x14ac:dyDescent="0.25">
      <c r="A497" s="1" t="s">
        <v>80</v>
      </c>
      <c r="B497" s="1" t="str">
        <f t="shared" si="14"/>
        <v>Monday</v>
      </c>
      <c r="C497" s="1" t="str">
        <f>TEXT(Penjualan_Dimsum[[#This Row],[Tanggal]],"mmmm")</f>
        <v>May</v>
      </c>
      <c r="D497" s="1" t="str">
        <f t="shared" si="15"/>
        <v>Weekday</v>
      </c>
      <c r="E497" t="s">
        <v>26</v>
      </c>
      <c r="F497" t="s">
        <v>9</v>
      </c>
      <c r="G497">
        <v>13</v>
      </c>
      <c r="H497">
        <v>12000</v>
      </c>
      <c r="I497">
        <v>156000</v>
      </c>
      <c r="J497" t="s">
        <v>20</v>
      </c>
    </row>
    <row r="498" spans="1:10" x14ac:dyDescent="0.25">
      <c r="A498" s="1" t="s">
        <v>41</v>
      </c>
      <c r="B498" s="1" t="str">
        <f t="shared" si="14"/>
        <v>Sunday</v>
      </c>
      <c r="C498" s="1" t="str">
        <f>TEXT(Penjualan_Dimsum[[#This Row],[Tanggal]],"mmmm")</f>
        <v>April</v>
      </c>
      <c r="D498" s="1" t="str">
        <f t="shared" si="15"/>
        <v>Weekend</v>
      </c>
      <c r="E498" t="s">
        <v>8</v>
      </c>
      <c r="F498" t="s">
        <v>9</v>
      </c>
      <c r="G498">
        <v>7</v>
      </c>
      <c r="H498">
        <v>20000</v>
      </c>
      <c r="I498">
        <v>140000</v>
      </c>
      <c r="J498" t="s">
        <v>20</v>
      </c>
    </row>
    <row r="499" spans="1:10" x14ac:dyDescent="0.25">
      <c r="A499" s="1" t="s">
        <v>101</v>
      </c>
      <c r="B499" s="1" t="str">
        <f t="shared" si="14"/>
        <v>Wednesday</v>
      </c>
      <c r="C499" s="1" t="str">
        <f>TEXT(Penjualan_Dimsum[[#This Row],[Tanggal]],"mmmm")</f>
        <v>April</v>
      </c>
      <c r="D499" s="1" t="str">
        <f t="shared" si="15"/>
        <v>Weekday</v>
      </c>
      <c r="E499" t="s">
        <v>16</v>
      </c>
      <c r="F499" t="s">
        <v>9</v>
      </c>
      <c r="G499">
        <v>17</v>
      </c>
      <c r="H499">
        <v>20000</v>
      </c>
      <c r="I499">
        <v>340000</v>
      </c>
      <c r="J499" t="s">
        <v>20</v>
      </c>
    </row>
    <row r="500" spans="1:10" x14ac:dyDescent="0.25">
      <c r="A500" s="1" t="s">
        <v>42</v>
      </c>
      <c r="B500" s="1" t="str">
        <f t="shared" si="14"/>
        <v>Saturday</v>
      </c>
      <c r="C500" s="1" t="str">
        <f>TEXT(Penjualan_Dimsum[[#This Row],[Tanggal]],"mmmm")</f>
        <v>May</v>
      </c>
      <c r="D500" s="1" t="str">
        <f t="shared" si="15"/>
        <v>Weekend</v>
      </c>
      <c r="E500" t="s">
        <v>8</v>
      </c>
      <c r="F500" t="s">
        <v>9</v>
      </c>
      <c r="G500">
        <v>2</v>
      </c>
      <c r="H500">
        <v>12000</v>
      </c>
      <c r="I500">
        <v>24000</v>
      </c>
      <c r="J500" t="s">
        <v>18</v>
      </c>
    </row>
    <row r="501" spans="1:10" x14ac:dyDescent="0.25">
      <c r="A501" s="1" t="s">
        <v>66</v>
      </c>
      <c r="B501" s="1" t="str">
        <f t="shared" si="14"/>
        <v>Tuesday</v>
      </c>
      <c r="C501" s="1" t="str">
        <f>TEXT(Penjualan_Dimsum[[#This Row],[Tanggal]],"mmmm")</f>
        <v>April</v>
      </c>
      <c r="D501" s="1" t="str">
        <f t="shared" si="15"/>
        <v>Weekday</v>
      </c>
      <c r="E501" t="s">
        <v>16</v>
      </c>
      <c r="F501" t="s">
        <v>9</v>
      </c>
      <c r="G501">
        <v>18</v>
      </c>
      <c r="H501">
        <v>15000</v>
      </c>
      <c r="I501">
        <v>270000</v>
      </c>
      <c r="J501" t="s">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936A0-0195-4783-8561-677E73DEED0B}">
  <dimension ref="A1:J114"/>
  <sheetViews>
    <sheetView topLeftCell="A58" zoomScale="78" zoomScaleNormal="94" workbookViewId="0">
      <selection activeCell="H85" sqref="H85"/>
    </sheetView>
  </sheetViews>
  <sheetFormatPr defaultColWidth="29.5703125" defaultRowHeight="15" x14ac:dyDescent="0.25"/>
  <cols>
    <col min="1" max="1" width="23.42578125" bestFit="1" customWidth="1"/>
    <col min="2" max="2" width="20.7109375" bestFit="1" customWidth="1"/>
    <col min="3" max="4" width="22" bestFit="1" customWidth="1"/>
    <col min="5" max="5" width="22.7109375" bestFit="1" customWidth="1"/>
    <col min="6" max="6" width="10.7109375" customWidth="1"/>
    <col min="7" max="7" width="13.5703125" bestFit="1" customWidth="1"/>
    <col min="8" max="8" width="20.7109375" bestFit="1" customWidth="1"/>
    <col min="9" max="9" width="21.85546875" bestFit="1" customWidth="1"/>
    <col min="10" max="10" width="22.28515625" bestFit="1" customWidth="1"/>
  </cols>
  <sheetData>
    <row r="1" spans="1:8" x14ac:dyDescent="0.25">
      <c r="A1" s="15" t="s">
        <v>133</v>
      </c>
    </row>
    <row r="2" spans="1:8" x14ac:dyDescent="0.25">
      <c r="A2" s="15" t="s">
        <v>134</v>
      </c>
    </row>
    <row r="3" spans="1:8" x14ac:dyDescent="0.25">
      <c r="A3" s="2" t="s">
        <v>111</v>
      </c>
      <c r="B3" t="s">
        <v>139</v>
      </c>
      <c r="G3" s="2" t="s">
        <v>111</v>
      </c>
      <c r="H3" t="s">
        <v>140</v>
      </c>
    </row>
    <row r="4" spans="1:8" x14ac:dyDescent="0.25">
      <c r="A4" s="3" t="s">
        <v>26</v>
      </c>
      <c r="B4" s="16">
        <v>1107</v>
      </c>
      <c r="G4" s="3" t="s">
        <v>16</v>
      </c>
      <c r="H4" s="5">
        <v>0.22635264951967771</v>
      </c>
    </row>
    <row r="5" spans="1:8" x14ac:dyDescent="0.25">
      <c r="A5" s="3" t="s">
        <v>16</v>
      </c>
      <c r="B5" s="16">
        <v>1106</v>
      </c>
      <c r="G5" s="3" t="s">
        <v>26</v>
      </c>
      <c r="H5" s="5">
        <v>0.21315153393244499</v>
      </c>
    </row>
    <row r="6" spans="1:8" x14ac:dyDescent="0.25">
      <c r="A6" s="3" t="s">
        <v>8</v>
      </c>
      <c r="B6" s="16">
        <v>1052</v>
      </c>
      <c r="G6" s="3" t="s">
        <v>8</v>
      </c>
      <c r="H6" s="5">
        <v>0.20678029129222189</v>
      </c>
    </row>
    <row r="7" spans="1:8" x14ac:dyDescent="0.25">
      <c r="A7" s="3" t="s">
        <v>22</v>
      </c>
      <c r="B7" s="16">
        <v>928</v>
      </c>
      <c r="G7" s="3" t="s">
        <v>22</v>
      </c>
      <c r="H7" s="5">
        <v>0.18094824914781532</v>
      </c>
    </row>
    <row r="8" spans="1:8" x14ac:dyDescent="0.25">
      <c r="A8" s="3" t="s">
        <v>12</v>
      </c>
      <c r="B8" s="16">
        <v>882</v>
      </c>
      <c r="G8" s="3" t="s">
        <v>12</v>
      </c>
      <c r="H8" s="5">
        <v>0.1727672761078401</v>
      </c>
    </row>
    <row r="9" spans="1:8" x14ac:dyDescent="0.25">
      <c r="A9" s="3" t="s">
        <v>112</v>
      </c>
      <c r="B9" s="16">
        <v>5075</v>
      </c>
      <c r="G9" s="3" t="s">
        <v>112</v>
      </c>
      <c r="H9" s="5">
        <v>1</v>
      </c>
    </row>
    <row r="19" spans="1:2" x14ac:dyDescent="0.25">
      <c r="A19" s="2" t="s">
        <v>111</v>
      </c>
      <c r="B19" t="s">
        <v>140</v>
      </c>
    </row>
    <row r="20" spans="1:2" x14ac:dyDescent="0.25">
      <c r="A20" s="3" t="s">
        <v>16</v>
      </c>
      <c r="B20" s="16">
        <v>18261000</v>
      </c>
    </row>
    <row r="21" spans="1:2" x14ac:dyDescent="0.25">
      <c r="A21" s="3" t="s">
        <v>26</v>
      </c>
      <c r="B21" s="16">
        <v>17196000</v>
      </c>
    </row>
    <row r="22" spans="1:2" x14ac:dyDescent="0.25">
      <c r="A22" s="3" t="s">
        <v>8</v>
      </c>
      <c r="B22" s="16">
        <v>16682000</v>
      </c>
    </row>
    <row r="23" spans="1:2" x14ac:dyDescent="0.25">
      <c r="A23" s="3" t="s">
        <v>22</v>
      </c>
      <c r="B23" s="16">
        <v>14598000</v>
      </c>
    </row>
    <row r="24" spans="1:2" x14ac:dyDescent="0.25">
      <c r="A24" s="3" t="s">
        <v>12</v>
      </c>
      <c r="B24" s="16">
        <v>13938000</v>
      </c>
    </row>
    <row r="25" spans="1:2" x14ac:dyDescent="0.25">
      <c r="A25" s="3" t="s">
        <v>112</v>
      </c>
      <c r="B25" s="16">
        <v>80675000</v>
      </c>
    </row>
    <row r="34" spans="1:8" x14ac:dyDescent="0.25">
      <c r="A34" s="15" t="s">
        <v>135</v>
      </c>
    </row>
    <row r="35" spans="1:8" x14ac:dyDescent="0.25">
      <c r="A35" s="2" t="s">
        <v>111</v>
      </c>
      <c r="B35" t="s">
        <v>157</v>
      </c>
      <c r="G35" s="2" t="s">
        <v>111</v>
      </c>
      <c r="H35" t="s">
        <v>139</v>
      </c>
    </row>
    <row r="36" spans="1:8" x14ac:dyDescent="0.25">
      <c r="A36" s="3" t="s">
        <v>155</v>
      </c>
      <c r="B36" s="16">
        <v>147</v>
      </c>
      <c r="G36" s="3" t="s">
        <v>143</v>
      </c>
      <c r="H36" s="16">
        <v>741</v>
      </c>
    </row>
    <row r="37" spans="1:8" x14ac:dyDescent="0.25">
      <c r="A37" s="3" t="s">
        <v>154</v>
      </c>
      <c r="B37" s="16">
        <v>353</v>
      </c>
      <c r="G37" s="3" t="s">
        <v>144</v>
      </c>
      <c r="H37" s="16">
        <v>485</v>
      </c>
    </row>
    <row r="38" spans="1:8" x14ac:dyDescent="0.25">
      <c r="A38" s="3" t="s">
        <v>112</v>
      </c>
      <c r="B38" s="16">
        <v>500</v>
      </c>
      <c r="G38" s="3" t="s">
        <v>145</v>
      </c>
      <c r="H38" s="16">
        <v>936</v>
      </c>
    </row>
    <row r="39" spans="1:8" x14ac:dyDescent="0.25">
      <c r="G39" s="3" t="s">
        <v>146</v>
      </c>
      <c r="H39" s="16">
        <v>661</v>
      </c>
    </row>
    <row r="40" spans="1:8" x14ac:dyDescent="0.25">
      <c r="G40" s="3" t="s">
        <v>147</v>
      </c>
      <c r="H40" s="16">
        <v>674</v>
      </c>
    </row>
    <row r="41" spans="1:8" x14ac:dyDescent="0.25">
      <c r="G41" s="3" t="s">
        <v>148</v>
      </c>
      <c r="H41" s="16">
        <v>801</v>
      </c>
    </row>
    <row r="42" spans="1:8" x14ac:dyDescent="0.25">
      <c r="G42" s="3" t="s">
        <v>149</v>
      </c>
      <c r="H42" s="16">
        <v>777</v>
      </c>
    </row>
    <row r="43" spans="1:8" x14ac:dyDescent="0.25">
      <c r="G43" s="3" t="s">
        <v>112</v>
      </c>
      <c r="H43" s="16">
        <v>5075</v>
      </c>
    </row>
    <row r="50" spans="1:10" x14ac:dyDescent="0.25">
      <c r="A50" s="15" t="s">
        <v>136</v>
      </c>
    </row>
    <row r="51" spans="1:10" x14ac:dyDescent="0.25">
      <c r="A51" s="2" t="s">
        <v>111</v>
      </c>
      <c r="B51" t="s">
        <v>139</v>
      </c>
    </row>
    <row r="52" spans="1:10" x14ac:dyDescent="0.25">
      <c r="A52" s="3" t="s">
        <v>153</v>
      </c>
      <c r="B52" s="16">
        <v>1597</v>
      </c>
      <c r="I52" s="2" t="s">
        <v>111</v>
      </c>
      <c r="J52" t="s">
        <v>140</v>
      </c>
    </row>
    <row r="53" spans="1:10" x14ac:dyDescent="0.25">
      <c r="A53" s="4" t="s">
        <v>22</v>
      </c>
      <c r="B53" s="16">
        <v>220</v>
      </c>
      <c r="I53" s="3" t="s">
        <v>152</v>
      </c>
      <c r="J53" s="16">
        <v>28066000</v>
      </c>
    </row>
    <row r="54" spans="1:10" x14ac:dyDescent="0.25">
      <c r="A54" s="4" t="s">
        <v>8</v>
      </c>
      <c r="B54" s="16">
        <v>304</v>
      </c>
      <c r="I54" s="3" t="s">
        <v>151</v>
      </c>
      <c r="J54" s="16">
        <v>27269000</v>
      </c>
    </row>
    <row r="55" spans="1:10" x14ac:dyDescent="0.25">
      <c r="A55" s="4" t="s">
        <v>12</v>
      </c>
      <c r="B55" s="16">
        <v>321</v>
      </c>
      <c r="I55" s="3" t="s">
        <v>153</v>
      </c>
      <c r="J55" s="16">
        <v>25340000</v>
      </c>
    </row>
    <row r="56" spans="1:10" x14ac:dyDescent="0.25">
      <c r="A56" s="4" t="s">
        <v>26</v>
      </c>
      <c r="B56" s="16">
        <v>331</v>
      </c>
      <c r="I56" s="3" t="s">
        <v>112</v>
      </c>
      <c r="J56" s="16">
        <v>80675000</v>
      </c>
    </row>
    <row r="57" spans="1:10" x14ac:dyDescent="0.25">
      <c r="A57" s="4" t="s">
        <v>16</v>
      </c>
      <c r="B57" s="16">
        <v>421</v>
      </c>
    </row>
    <row r="58" spans="1:10" x14ac:dyDescent="0.25">
      <c r="A58" s="3" t="s">
        <v>151</v>
      </c>
      <c r="B58" s="16">
        <v>1700</v>
      </c>
    </row>
    <row r="59" spans="1:10" x14ac:dyDescent="0.25">
      <c r="A59" s="4" t="s">
        <v>16</v>
      </c>
      <c r="B59" s="16">
        <v>315</v>
      </c>
    </row>
    <row r="60" spans="1:10" x14ac:dyDescent="0.25">
      <c r="A60" s="4" t="s">
        <v>22</v>
      </c>
      <c r="B60" s="16">
        <v>322</v>
      </c>
    </row>
    <row r="61" spans="1:10" x14ac:dyDescent="0.25">
      <c r="A61" s="4" t="s">
        <v>26</v>
      </c>
      <c r="B61" s="16">
        <v>326</v>
      </c>
    </row>
    <row r="62" spans="1:10" x14ac:dyDescent="0.25">
      <c r="A62" s="4" t="s">
        <v>12</v>
      </c>
      <c r="B62" s="16">
        <v>350</v>
      </c>
    </row>
    <row r="63" spans="1:10" x14ac:dyDescent="0.25">
      <c r="A63" s="4" t="s">
        <v>8</v>
      </c>
      <c r="B63" s="16">
        <v>387</v>
      </c>
    </row>
    <row r="64" spans="1:10" x14ac:dyDescent="0.25">
      <c r="A64" s="3" t="s">
        <v>152</v>
      </c>
      <c r="B64" s="16">
        <v>1778</v>
      </c>
    </row>
    <row r="65" spans="1:9" x14ac:dyDescent="0.25">
      <c r="A65" s="4" t="s">
        <v>12</v>
      </c>
      <c r="B65" s="16">
        <v>211</v>
      </c>
    </row>
    <row r="66" spans="1:9" x14ac:dyDescent="0.25">
      <c r="A66" s="4" t="s">
        <v>8</v>
      </c>
      <c r="B66" s="16">
        <v>361</v>
      </c>
    </row>
    <row r="67" spans="1:9" x14ac:dyDescent="0.25">
      <c r="A67" s="4" t="s">
        <v>16</v>
      </c>
      <c r="B67" s="16">
        <v>370</v>
      </c>
    </row>
    <row r="68" spans="1:9" x14ac:dyDescent="0.25">
      <c r="A68" s="4" t="s">
        <v>22</v>
      </c>
      <c r="B68" s="16">
        <v>386</v>
      </c>
    </row>
    <row r="69" spans="1:9" x14ac:dyDescent="0.25">
      <c r="A69" s="4" t="s">
        <v>26</v>
      </c>
      <c r="B69" s="16">
        <v>450</v>
      </c>
    </row>
    <row r="70" spans="1:9" x14ac:dyDescent="0.25">
      <c r="A70" s="3" t="s">
        <v>112</v>
      </c>
      <c r="B70" s="16">
        <v>5075</v>
      </c>
    </row>
    <row r="73" spans="1:9" x14ac:dyDescent="0.25">
      <c r="A73" s="2" t="s">
        <v>111</v>
      </c>
      <c r="B73" t="s">
        <v>156</v>
      </c>
      <c r="H73" s="2" t="s">
        <v>111</v>
      </c>
      <c r="I73" t="s">
        <v>140</v>
      </c>
    </row>
    <row r="74" spans="1:9" x14ac:dyDescent="0.25">
      <c r="A74" s="3" t="s">
        <v>153</v>
      </c>
      <c r="B74" s="16">
        <v>165</v>
      </c>
      <c r="H74" s="3" t="s">
        <v>151</v>
      </c>
      <c r="I74" s="5"/>
    </row>
    <row r="75" spans="1:9" x14ac:dyDescent="0.25">
      <c r="A75" s="3" t="s">
        <v>152</v>
      </c>
      <c r="B75" s="16">
        <v>166</v>
      </c>
      <c r="H75" s="3" t="s">
        <v>152</v>
      </c>
      <c r="I75" s="5">
        <v>2.922732773479042E-2</v>
      </c>
    </row>
    <row r="76" spans="1:9" x14ac:dyDescent="0.25">
      <c r="A76" s="3" t="s">
        <v>151</v>
      </c>
      <c r="B76" s="16">
        <v>169</v>
      </c>
      <c r="H76" s="3" t="s">
        <v>153</v>
      </c>
      <c r="I76" s="5">
        <v>-7.073966775459313E-2</v>
      </c>
    </row>
    <row r="77" spans="1:9" x14ac:dyDescent="0.25">
      <c r="A77" s="3" t="s">
        <v>112</v>
      </c>
      <c r="B77" s="16">
        <v>500</v>
      </c>
      <c r="H77" s="3" t="s">
        <v>112</v>
      </c>
      <c r="I77" s="5"/>
    </row>
    <row r="88" spans="1:2" x14ac:dyDescent="0.25">
      <c r="A88" s="2" t="s">
        <v>111</v>
      </c>
      <c r="B88" t="s">
        <v>158</v>
      </c>
    </row>
    <row r="89" spans="1:2" x14ac:dyDescent="0.25">
      <c r="A89" s="3" t="s">
        <v>151</v>
      </c>
      <c r="B89" s="16">
        <v>10.059171597633137</v>
      </c>
    </row>
    <row r="90" spans="1:2" x14ac:dyDescent="0.25">
      <c r="A90" s="3" t="s">
        <v>152</v>
      </c>
      <c r="B90" s="16">
        <v>10.710843373493976</v>
      </c>
    </row>
    <row r="91" spans="1:2" x14ac:dyDescent="0.25">
      <c r="A91" s="3" t="s">
        <v>153</v>
      </c>
      <c r="B91" s="16">
        <v>9.6787878787878796</v>
      </c>
    </row>
    <row r="92" spans="1:2" x14ac:dyDescent="0.25">
      <c r="A92" s="3" t="s">
        <v>112</v>
      </c>
      <c r="B92" s="16">
        <v>10.15</v>
      </c>
    </row>
    <row r="103" spans="1:2" x14ac:dyDescent="0.25">
      <c r="A103" s="15" t="s">
        <v>137</v>
      </c>
    </row>
    <row r="104" spans="1:2" x14ac:dyDescent="0.25">
      <c r="A104" s="2" t="s">
        <v>111</v>
      </c>
      <c r="B104" t="s">
        <v>156</v>
      </c>
    </row>
    <row r="105" spans="1:2" x14ac:dyDescent="0.25">
      <c r="A105" s="3" t="s">
        <v>13</v>
      </c>
      <c r="B105" s="16">
        <v>136</v>
      </c>
    </row>
    <row r="106" spans="1:2" x14ac:dyDescent="0.25">
      <c r="A106" s="3" t="s">
        <v>10</v>
      </c>
      <c r="B106" s="16">
        <v>129</v>
      </c>
    </row>
    <row r="107" spans="1:2" x14ac:dyDescent="0.25">
      <c r="A107" s="3" t="s">
        <v>18</v>
      </c>
      <c r="B107" s="16">
        <v>125</v>
      </c>
    </row>
    <row r="108" spans="1:2" x14ac:dyDescent="0.25">
      <c r="A108" s="3" t="s">
        <v>20</v>
      </c>
      <c r="B108" s="16">
        <v>110</v>
      </c>
    </row>
    <row r="109" spans="1:2" x14ac:dyDescent="0.25">
      <c r="A109" s="3" t="s">
        <v>112</v>
      </c>
      <c r="B109" s="16">
        <v>500</v>
      </c>
    </row>
    <row r="114" spans="1:1" x14ac:dyDescent="0.25">
      <c r="A114" s="15"/>
    </row>
  </sheetData>
  <conditionalFormatting pivot="1" sqref="B53:B57">
    <cfRule type="top10" priority="1" rank="1"/>
  </conditionalFormatting>
  <pageMargins left="0.7" right="0.7" top="0.75" bottom="0.75" header="0.3" footer="0.3"/>
  <pageSetup orientation="portrait" r:id="rId12"/>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154B-9961-4704-A761-C07F45221FB3}">
  <sheetPr>
    <pageSetUpPr fitToPage="1"/>
  </sheetPr>
  <dimension ref="A1:S67"/>
  <sheetViews>
    <sheetView showGridLines="0" showRowColHeaders="0" tabSelected="1" topLeftCell="A25" zoomScale="98" zoomScaleNormal="70" workbookViewId="0">
      <selection activeCell="AB18" sqref="AB18"/>
    </sheetView>
  </sheetViews>
  <sheetFormatPr defaultRowHeight="15" x14ac:dyDescent="0.25"/>
  <cols>
    <col min="14" max="14" width="9.140625" customWidth="1"/>
  </cols>
  <sheetData>
    <row r="1" spans="1:19" ht="15" customHeight="1" x14ac:dyDescent="0.25">
      <c r="A1" s="17" t="s">
        <v>159</v>
      </c>
      <c r="B1" s="18"/>
      <c r="C1" s="18"/>
      <c r="D1" s="18"/>
      <c r="E1" s="18"/>
      <c r="F1" s="18"/>
      <c r="G1" s="18"/>
      <c r="H1" s="18"/>
      <c r="I1" s="18"/>
      <c r="J1" s="18"/>
      <c r="K1" s="18"/>
      <c r="L1" s="18"/>
      <c r="M1" s="18"/>
      <c r="N1" s="18"/>
      <c r="O1" s="18"/>
      <c r="P1" s="18"/>
      <c r="Q1" s="18"/>
      <c r="R1" s="18"/>
      <c r="S1" s="19"/>
    </row>
    <row r="2" spans="1:19" ht="15" customHeight="1" x14ac:dyDescent="0.25">
      <c r="A2" s="20"/>
      <c r="B2" s="21"/>
      <c r="C2" s="21"/>
      <c r="D2" s="21"/>
      <c r="E2" s="21"/>
      <c r="F2" s="21"/>
      <c r="G2" s="21"/>
      <c r="H2" s="21"/>
      <c r="I2" s="21"/>
      <c r="J2" s="21"/>
      <c r="K2" s="21"/>
      <c r="L2" s="21"/>
      <c r="M2" s="21"/>
      <c r="N2" s="21"/>
      <c r="O2" s="21"/>
      <c r="P2" s="21"/>
      <c r="Q2" s="21"/>
      <c r="R2" s="21"/>
      <c r="S2" s="22"/>
    </row>
    <row r="3" spans="1:19" ht="15" customHeight="1" x14ac:dyDescent="0.25">
      <c r="A3" s="20"/>
      <c r="B3" s="21"/>
      <c r="C3" s="21"/>
      <c r="D3" s="21"/>
      <c r="E3" s="21"/>
      <c r="F3" s="21"/>
      <c r="G3" s="21"/>
      <c r="H3" s="21"/>
      <c r="I3" s="21"/>
      <c r="J3" s="21"/>
      <c r="K3" s="21"/>
      <c r="L3" s="21"/>
      <c r="M3" s="21"/>
      <c r="N3" s="21"/>
      <c r="O3" s="21"/>
      <c r="P3" s="21"/>
      <c r="Q3" s="21"/>
      <c r="R3" s="21"/>
      <c r="S3" s="22"/>
    </row>
    <row r="4" spans="1:19" ht="15" customHeight="1" x14ac:dyDescent="0.25">
      <c r="A4" s="20"/>
      <c r="B4" s="21"/>
      <c r="C4" s="21"/>
      <c r="D4" s="21"/>
      <c r="E4" s="21"/>
      <c r="F4" s="21"/>
      <c r="G4" s="21"/>
      <c r="H4" s="21"/>
      <c r="I4" s="21"/>
      <c r="J4" s="21"/>
      <c r="K4" s="21"/>
      <c r="L4" s="21"/>
      <c r="M4" s="21"/>
      <c r="N4" s="21"/>
      <c r="O4" s="21"/>
      <c r="P4" s="21"/>
      <c r="Q4" s="21"/>
      <c r="R4" s="21"/>
      <c r="S4" s="22"/>
    </row>
    <row r="5" spans="1:19" x14ac:dyDescent="0.25">
      <c r="A5" s="8"/>
      <c r="B5" s="13"/>
      <c r="C5" s="13"/>
      <c r="D5" s="13"/>
      <c r="E5" s="13"/>
      <c r="F5" s="13"/>
      <c r="G5" s="13"/>
      <c r="H5" s="13"/>
      <c r="I5" s="13"/>
      <c r="J5" s="13"/>
      <c r="K5" s="13"/>
      <c r="L5" s="13"/>
      <c r="M5" s="13"/>
      <c r="N5" s="13"/>
      <c r="O5" s="13"/>
      <c r="P5" s="13"/>
      <c r="Q5" s="13"/>
      <c r="R5" s="13"/>
      <c r="S5" s="9"/>
    </row>
    <row r="6" spans="1:19" x14ac:dyDescent="0.25">
      <c r="A6" s="8"/>
      <c r="B6" s="13"/>
      <c r="C6" s="13"/>
      <c r="D6" s="13"/>
      <c r="E6" s="13"/>
      <c r="F6" s="13"/>
      <c r="G6" s="13"/>
      <c r="H6" s="13"/>
      <c r="I6" s="13"/>
      <c r="J6" s="13"/>
      <c r="K6" s="13"/>
      <c r="L6" s="13"/>
      <c r="M6" s="13"/>
      <c r="N6" s="13"/>
      <c r="O6" s="13"/>
      <c r="P6" s="13"/>
      <c r="Q6" s="13"/>
      <c r="R6" s="13"/>
      <c r="S6" s="9"/>
    </row>
    <row r="7" spans="1:19" x14ac:dyDescent="0.25">
      <c r="A7" s="8"/>
      <c r="B7" s="13"/>
      <c r="C7" s="13"/>
      <c r="D7" s="13"/>
      <c r="E7" s="13"/>
      <c r="F7" s="13"/>
      <c r="G7" s="13"/>
      <c r="H7" s="13"/>
      <c r="I7" s="13"/>
      <c r="J7" s="13"/>
      <c r="K7" s="13"/>
      <c r="L7" s="13"/>
      <c r="M7" s="13"/>
      <c r="N7" s="13"/>
      <c r="O7" s="13"/>
      <c r="P7" s="13"/>
      <c r="Q7" s="13"/>
      <c r="R7" s="13"/>
      <c r="S7" s="9"/>
    </row>
    <row r="8" spans="1:19" x14ac:dyDescent="0.25">
      <c r="A8" s="8"/>
      <c r="B8" s="13"/>
      <c r="C8" s="13"/>
      <c r="D8" s="13"/>
      <c r="E8" s="13"/>
      <c r="F8" s="13"/>
      <c r="G8" s="13"/>
      <c r="H8" s="13"/>
      <c r="I8" s="13"/>
      <c r="J8" s="13"/>
      <c r="K8" s="13"/>
      <c r="L8" s="13"/>
      <c r="M8" s="13"/>
      <c r="N8" s="13"/>
      <c r="O8" s="13"/>
      <c r="P8" s="13"/>
      <c r="Q8" s="13"/>
      <c r="R8" s="13"/>
      <c r="S8" s="9"/>
    </row>
    <row r="9" spans="1:19" x14ac:dyDescent="0.25">
      <c r="A9" s="8"/>
      <c r="B9" s="13"/>
      <c r="C9" s="13"/>
      <c r="D9" s="13"/>
      <c r="E9" s="13"/>
      <c r="F9" s="13"/>
      <c r="G9" s="13"/>
      <c r="H9" s="13"/>
      <c r="I9" s="13"/>
      <c r="J9" s="13"/>
      <c r="K9" s="13"/>
      <c r="L9" s="13"/>
      <c r="M9" s="13"/>
      <c r="N9" s="13"/>
      <c r="O9" s="13"/>
      <c r="P9" s="13"/>
      <c r="Q9" s="13"/>
      <c r="R9" s="13"/>
      <c r="S9" s="9"/>
    </row>
    <row r="10" spans="1:19" x14ac:dyDescent="0.25">
      <c r="A10" s="8"/>
      <c r="B10" s="13"/>
      <c r="C10" s="13"/>
      <c r="D10" s="13"/>
      <c r="E10" s="13"/>
      <c r="F10" s="13"/>
      <c r="G10" s="13"/>
      <c r="H10" s="13"/>
      <c r="I10" s="13"/>
      <c r="J10" s="13"/>
      <c r="K10" s="13"/>
      <c r="L10" s="13"/>
      <c r="M10" s="13"/>
      <c r="N10" s="13"/>
      <c r="O10" s="13"/>
      <c r="P10" s="13"/>
      <c r="Q10" s="13"/>
      <c r="R10" s="13"/>
      <c r="S10" s="9"/>
    </row>
    <row r="11" spans="1:19" x14ac:dyDescent="0.25">
      <c r="A11" s="8"/>
      <c r="B11" s="13"/>
      <c r="C11" s="13"/>
      <c r="D11" s="13"/>
      <c r="E11" s="13"/>
      <c r="F11" s="13"/>
      <c r="G11" s="13"/>
      <c r="H11" s="13"/>
      <c r="I11" s="13"/>
      <c r="J11" s="13"/>
      <c r="K11" s="13"/>
      <c r="L11" s="13"/>
      <c r="M11" s="13"/>
      <c r="N11" s="13"/>
      <c r="O11" s="13"/>
      <c r="P11" s="13"/>
      <c r="Q11" s="13"/>
      <c r="R11" s="13"/>
      <c r="S11" s="9"/>
    </row>
    <row r="12" spans="1:19" x14ac:dyDescent="0.25">
      <c r="A12" s="8"/>
      <c r="B12" s="13"/>
      <c r="C12" s="13"/>
      <c r="D12" s="13"/>
      <c r="E12" s="13"/>
      <c r="F12" s="13"/>
      <c r="G12" s="13"/>
      <c r="H12" s="13"/>
      <c r="I12" s="13"/>
      <c r="J12" s="13"/>
      <c r="K12" s="13"/>
      <c r="L12" s="13"/>
      <c r="M12" s="13"/>
      <c r="N12" s="13"/>
      <c r="O12" s="13"/>
      <c r="P12" s="13"/>
      <c r="Q12" s="13"/>
      <c r="R12" s="13"/>
      <c r="S12" s="9"/>
    </row>
    <row r="13" spans="1:19" x14ac:dyDescent="0.25">
      <c r="A13" s="8"/>
      <c r="B13" s="13"/>
      <c r="C13" s="13"/>
      <c r="D13" s="13"/>
      <c r="E13" s="13"/>
      <c r="F13" s="13"/>
      <c r="G13" s="13"/>
      <c r="H13" s="13"/>
      <c r="I13" s="13"/>
      <c r="J13" s="13"/>
      <c r="K13" s="13"/>
      <c r="L13" s="13"/>
      <c r="M13" s="13"/>
      <c r="N13" s="13"/>
      <c r="O13" s="13"/>
      <c r="P13" s="13"/>
      <c r="Q13" s="13"/>
      <c r="R13" s="13"/>
      <c r="S13" s="9"/>
    </row>
    <row r="14" spans="1:19" x14ac:dyDescent="0.25">
      <c r="A14" s="8"/>
      <c r="B14" s="13"/>
      <c r="C14" s="13"/>
      <c r="D14" s="13"/>
      <c r="E14" s="13"/>
      <c r="F14" s="13"/>
      <c r="G14" s="13"/>
      <c r="H14" s="13"/>
      <c r="I14" s="13"/>
      <c r="J14" s="13"/>
      <c r="K14" s="13"/>
      <c r="L14" s="13"/>
      <c r="M14" s="13"/>
      <c r="N14" s="13"/>
      <c r="O14" s="13"/>
      <c r="P14" s="13"/>
      <c r="Q14" s="13"/>
      <c r="R14" s="13"/>
      <c r="S14" s="9"/>
    </row>
    <row r="15" spans="1:19" x14ac:dyDescent="0.25">
      <c r="A15" s="8"/>
      <c r="B15" s="13"/>
      <c r="C15" s="13"/>
      <c r="D15" s="13"/>
      <c r="E15" s="13"/>
      <c r="F15" s="13"/>
      <c r="G15" s="13"/>
      <c r="H15" s="13"/>
      <c r="I15" s="13"/>
      <c r="J15" s="13"/>
      <c r="K15" s="13"/>
      <c r="L15" s="13"/>
      <c r="M15" s="13"/>
      <c r="N15" s="13"/>
      <c r="O15" s="13"/>
      <c r="P15" s="13"/>
      <c r="Q15" s="13"/>
      <c r="R15" s="13"/>
      <c r="S15" s="9"/>
    </row>
    <row r="16" spans="1:19" x14ac:dyDescent="0.25">
      <c r="A16" s="8"/>
      <c r="B16" s="13"/>
      <c r="C16" s="13"/>
      <c r="D16" s="13"/>
      <c r="E16" s="13"/>
      <c r="F16" s="13"/>
      <c r="G16" s="13"/>
      <c r="H16" s="13"/>
      <c r="I16" s="13"/>
      <c r="J16" s="13"/>
      <c r="K16" s="13"/>
      <c r="L16" s="13"/>
      <c r="M16" s="13"/>
      <c r="N16" s="13"/>
      <c r="O16" s="13"/>
      <c r="P16" s="13"/>
      <c r="Q16" s="13"/>
      <c r="R16" s="13"/>
      <c r="S16" s="9"/>
    </row>
    <row r="17" spans="1:19" x14ac:dyDescent="0.25">
      <c r="A17" s="8"/>
      <c r="B17" s="13"/>
      <c r="C17" s="13"/>
      <c r="D17" s="13"/>
      <c r="E17" s="13"/>
      <c r="F17" s="13"/>
      <c r="G17" s="13"/>
      <c r="H17" s="13"/>
      <c r="I17" s="13"/>
      <c r="J17" s="13"/>
      <c r="K17" s="13"/>
      <c r="L17" s="13"/>
      <c r="M17" s="13"/>
      <c r="N17" s="13"/>
      <c r="O17" s="13"/>
      <c r="P17" s="13"/>
      <c r="Q17" s="13"/>
      <c r="R17" s="13"/>
      <c r="S17" s="9"/>
    </row>
    <row r="18" spans="1:19" x14ac:dyDescent="0.25">
      <c r="A18" s="8"/>
      <c r="B18" s="13"/>
      <c r="C18" s="13"/>
      <c r="D18" s="13"/>
      <c r="E18" s="13"/>
      <c r="F18" s="13"/>
      <c r="G18" s="13"/>
      <c r="H18" s="13"/>
      <c r="I18" s="13"/>
      <c r="J18" s="13"/>
      <c r="K18" s="13"/>
      <c r="L18" s="13"/>
      <c r="M18" s="13"/>
      <c r="N18" s="13"/>
      <c r="O18" s="13"/>
      <c r="P18" s="13"/>
      <c r="Q18" s="13"/>
      <c r="R18" s="13"/>
      <c r="S18" s="9"/>
    </row>
    <row r="19" spans="1:19" x14ac:dyDescent="0.25">
      <c r="A19" s="8"/>
      <c r="B19" s="13"/>
      <c r="C19" s="13"/>
      <c r="D19" s="13"/>
      <c r="E19" s="13"/>
      <c r="F19" s="13"/>
      <c r="G19" s="13"/>
      <c r="H19" s="13"/>
      <c r="I19" s="13"/>
      <c r="J19" s="13"/>
      <c r="K19" s="13"/>
      <c r="L19" s="13"/>
      <c r="M19" s="13"/>
      <c r="N19" s="13"/>
      <c r="O19" s="13"/>
      <c r="P19" s="13"/>
      <c r="Q19" s="13"/>
      <c r="R19" s="13"/>
      <c r="S19" s="9"/>
    </row>
    <row r="20" spans="1:19" x14ac:dyDescent="0.25">
      <c r="A20" s="8"/>
      <c r="B20" s="13"/>
      <c r="C20" s="13"/>
      <c r="D20" s="13"/>
      <c r="E20" s="13"/>
      <c r="F20" s="13"/>
      <c r="G20" s="13"/>
      <c r="H20" s="13"/>
      <c r="I20" s="13"/>
      <c r="J20" s="13"/>
      <c r="K20" s="13"/>
      <c r="L20" s="13"/>
      <c r="M20" s="13"/>
      <c r="N20" s="13"/>
      <c r="O20" s="13"/>
      <c r="P20" s="13"/>
      <c r="Q20" s="13"/>
      <c r="R20" s="13"/>
      <c r="S20" s="9"/>
    </row>
    <row r="21" spans="1:19" x14ac:dyDescent="0.25">
      <c r="A21" s="8"/>
      <c r="B21" s="13"/>
      <c r="C21" s="13"/>
      <c r="D21" s="13"/>
      <c r="E21" s="13"/>
      <c r="F21" s="13"/>
      <c r="G21" s="13"/>
      <c r="H21" s="13"/>
      <c r="I21" s="13"/>
      <c r="J21" s="13"/>
      <c r="K21" s="13"/>
      <c r="L21" s="13"/>
      <c r="M21" s="13"/>
      <c r="N21" s="13"/>
      <c r="O21" s="13"/>
      <c r="P21" s="13"/>
      <c r="Q21" s="13"/>
      <c r="R21" s="13"/>
      <c r="S21" s="9"/>
    </row>
    <row r="22" spans="1:19" x14ac:dyDescent="0.25">
      <c r="A22" s="8"/>
      <c r="B22" s="13"/>
      <c r="C22" s="13"/>
      <c r="D22" s="13"/>
      <c r="E22" s="13"/>
      <c r="F22" s="13"/>
      <c r="G22" s="13"/>
      <c r="H22" s="13"/>
      <c r="I22" s="13"/>
      <c r="J22" s="13"/>
      <c r="K22" s="13"/>
      <c r="L22" s="13"/>
      <c r="M22" s="13"/>
      <c r="N22" s="13"/>
      <c r="O22" s="13"/>
      <c r="P22" s="13"/>
      <c r="Q22" s="13"/>
      <c r="R22" s="13"/>
      <c r="S22" s="9"/>
    </row>
    <row r="23" spans="1:19" x14ac:dyDescent="0.25">
      <c r="A23" s="8"/>
      <c r="B23" s="13"/>
      <c r="C23" s="13"/>
      <c r="D23" s="13"/>
      <c r="E23" s="13"/>
      <c r="F23" s="13"/>
      <c r="G23" s="13"/>
      <c r="H23" s="13"/>
      <c r="I23" s="13"/>
      <c r="J23" s="13"/>
      <c r="K23" s="13"/>
      <c r="L23" s="13"/>
      <c r="M23" s="13"/>
      <c r="N23" s="13"/>
      <c r="O23" s="13"/>
      <c r="P23" s="13"/>
      <c r="Q23" s="13"/>
      <c r="R23" s="13"/>
      <c r="S23" s="9"/>
    </row>
    <row r="24" spans="1:19" x14ac:dyDescent="0.25">
      <c r="A24" s="8"/>
      <c r="B24" s="13"/>
      <c r="C24" s="13"/>
      <c r="D24" s="13"/>
      <c r="E24" s="13"/>
      <c r="F24" s="13"/>
      <c r="G24" s="13"/>
      <c r="H24" s="13"/>
      <c r="I24" s="13"/>
      <c r="J24" s="13"/>
      <c r="K24" s="13"/>
      <c r="L24" s="13"/>
      <c r="M24" s="13"/>
      <c r="N24" s="13"/>
      <c r="O24" s="13"/>
      <c r="P24" s="13"/>
      <c r="Q24" s="13"/>
      <c r="R24" s="13"/>
      <c r="S24" s="9"/>
    </row>
    <row r="25" spans="1:19" x14ac:dyDescent="0.25">
      <c r="A25" s="8"/>
      <c r="B25" s="13"/>
      <c r="C25" s="13"/>
      <c r="D25" s="13"/>
      <c r="E25" s="13"/>
      <c r="F25" s="13"/>
      <c r="G25" s="13"/>
      <c r="H25" s="13"/>
      <c r="I25" s="13"/>
      <c r="J25" s="13"/>
      <c r="K25" s="13"/>
      <c r="L25" s="13"/>
      <c r="M25" s="13"/>
      <c r="N25" s="13"/>
      <c r="O25" s="13"/>
      <c r="P25" s="13"/>
      <c r="Q25" s="13"/>
      <c r="R25" s="13"/>
      <c r="S25" s="9"/>
    </row>
    <row r="26" spans="1:19" x14ac:dyDescent="0.25">
      <c r="A26" s="8"/>
      <c r="B26" s="13"/>
      <c r="C26" s="13"/>
      <c r="D26" s="13"/>
      <c r="E26" s="13"/>
      <c r="F26" s="13"/>
      <c r="G26" s="13"/>
      <c r="H26" s="13"/>
      <c r="I26" s="13"/>
      <c r="J26" s="13"/>
      <c r="K26" s="13"/>
      <c r="L26" s="13"/>
      <c r="M26" s="13"/>
      <c r="N26" s="13"/>
      <c r="O26" s="13"/>
      <c r="P26" s="13"/>
      <c r="Q26" s="13"/>
      <c r="R26" s="13"/>
      <c r="S26" s="9"/>
    </row>
    <row r="27" spans="1:19" x14ac:dyDescent="0.25">
      <c r="A27" s="8"/>
      <c r="B27" s="13"/>
      <c r="C27" s="13"/>
      <c r="D27" s="13"/>
      <c r="E27" s="13"/>
      <c r="F27" s="13"/>
      <c r="G27" s="13"/>
      <c r="H27" s="13"/>
      <c r="I27" s="13"/>
      <c r="J27" s="13"/>
      <c r="K27" s="13"/>
      <c r="L27" s="13"/>
      <c r="M27" s="13"/>
      <c r="N27" s="13"/>
      <c r="O27" s="13"/>
      <c r="P27" s="13"/>
      <c r="Q27" s="13"/>
      <c r="R27" s="13"/>
      <c r="S27" s="9"/>
    </row>
    <row r="28" spans="1:19" x14ac:dyDescent="0.25">
      <c r="A28" s="8"/>
      <c r="B28" s="13"/>
      <c r="C28" s="13"/>
      <c r="D28" s="13"/>
      <c r="E28" s="13"/>
      <c r="F28" s="13"/>
      <c r="G28" s="13"/>
      <c r="H28" s="13"/>
      <c r="I28" s="13"/>
      <c r="J28" s="13"/>
      <c r="K28" s="13"/>
      <c r="L28" s="13"/>
      <c r="M28" s="13"/>
      <c r="N28" s="13"/>
      <c r="O28" s="13"/>
      <c r="P28" s="13"/>
      <c r="Q28" s="13"/>
      <c r="R28" s="13"/>
      <c r="S28" s="9"/>
    </row>
    <row r="29" spans="1:19" x14ac:dyDescent="0.25">
      <c r="A29" s="8"/>
      <c r="B29" s="13"/>
      <c r="C29" s="13"/>
      <c r="D29" s="13"/>
      <c r="E29" s="13"/>
      <c r="F29" s="13"/>
      <c r="G29" s="13"/>
      <c r="H29" s="13"/>
      <c r="I29" s="13"/>
      <c r="J29" s="13"/>
      <c r="K29" s="13"/>
      <c r="L29" s="13"/>
      <c r="M29" s="13"/>
      <c r="N29" s="13"/>
      <c r="O29" s="13"/>
      <c r="P29" s="13"/>
      <c r="Q29" s="13"/>
      <c r="R29" s="13"/>
      <c r="S29" s="9"/>
    </row>
    <row r="30" spans="1:19" x14ac:dyDescent="0.25">
      <c r="A30" s="8"/>
      <c r="B30" s="13"/>
      <c r="C30" s="13"/>
      <c r="D30" s="13"/>
      <c r="E30" s="13"/>
      <c r="F30" s="13"/>
      <c r="G30" s="13"/>
      <c r="H30" s="13"/>
      <c r="I30" s="13"/>
      <c r="J30" s="13"/>
      <c r="K30" s="13"/>
      <c r="L30" s="13"/>
      <c r="M30" s="13"/>
      <c r="N30" s="13"/>
      <c r="O30" s="13"/>
      <c r="P30" s="13"/>
      <c r="Q30" s="13"/>
      <c r="R30" s="13"/>
      <c r="S30" s="9"/>
    </row>
    <row r="31" spans="1:19" x14ac:dyDescent="0.25">
      <c r="A31" s="8"/>
      <c r="B31" s="13"/>
      <c r="C31" s="13"/>
      <c r="D31" s="13"/>
      <c r="E31" s="13"/>
      <c r="F31" s="13"/>
      <c r="G31" s="13"/>
      <c r="H31" s="13"/>
      <c r="I31" s="13"/>
      <c r="J31" s="13"/>
      <c r="K31" s="13"/>
      <c r="L31" s="13"/>
      <c r="M31" s="13"/>
      <c r="N31" s="13"/>
      <c r="O31" s="13"/>
      <c r="P31" s="13"/>
      <c r="Q31" s="13"/>
      <c r="R31" s="13"/>
      <c r="S31" s="9"/>
    </row>
    <row r="32" spans="1:19" x14ac:dyDescent="0.25">
      <c r="A32" s="8"/>
      <c r="B32" s="13"/>
      <c r="C32" s="13"/>
      <c r="D32" s="13"/>
      <c r="E32" s="13"/>
      <c r="F32" s="13"/>
      <c r="G32" s="13"/>
      <c r="H32" s="13"/>
      <c r="I32" s="13"/>
      <c r="J32" s="13"/>
      <c r="K32" s="13"/>
      <c r="L32" s="13"/>
      <c r="M32" s="13"/>
      <c r="N32" s="13"/>
      <c r="O32" s="13"/>
      <c r="P32" s="13"/>
      <c r="Q32" s="13"/>
      <c r="R32" s="13"/>
      <c r="S32" s="9"/>
    </row>
    <row r="33" spans="1:19" x14ac:dyDescent="0.25">
      <c r="A33" s="8"/>
      <c r="B33" s="13"/>
      <c r="C33" s="13"/>
      <c r="D33" s="13"/>
      <c r="E33" s="13"/>
      <c r="F33" s="13"/>
      <c r="G33" s="13"/>
      <c r="H33" s="13"/>
      <c r="I33" s="13"/>
      <c r="J33" s="13"/>
      <c r="K33" s="13"/>
      <c r="L33" s="13"/>
      <c r="M33" s="13"/>
      <c r="N33" s="13"/>
      <c r="O33" s="13"/>
      <c r="P33" s="13"/>
      <c r="Q33" s="13"/>
      <c r="R33" s="13"/>
      <c r="S33" s="9"/>
    </row>
    <row r="34" spans="1:19" x14ac:dyDescent="0.25">
      <c r="A34" s="8"/>
      <c r="B34" s="13"/>
      <c r="C34" s="13"/>
      <c r="D34" s="13"/>
      <c r="E34" s="13"/>
      <c r="F34" s="13"/>
      <c r="G34" s="13"/>
      <c r="H34" s="13"/>
      <c r="I34" s="13"/>
      <c r="J34" s="13"/>
      <c r="K34" s="13"/>
      <c r="L34" s="13"/>
      <c r="M34" s="13"/>
      <c r="N34" s="13"/>
      <c r="O34" s="13"/>
      <c r="P34" s="13"/>
      <c r="Q34" s="13"/>
      <c r="R34" s="13"/>
      <c r="S34" s="9"/>
    </row>
    <row r="35" spans="1:19" x14ac:dyDescent="0.25">
      <c r="A35" s="8"/>
      <c r="B35" s="13"/>
      <c r="C35" s="13"/>
      <c r="D35" s="13"/>
      <c r="E35" s="13"/>
      <c r="F35" s="13"/>
      <c r="G35" s="13"/>
      <c r="H35" s="13"/>
      <c r="I35" s="13"/>
      <c r="J35" s="13"/>
      <c r="K35" s="13"/>
      <c r="L35" s="13"/>
      <c r="M35" s="13"/>
      <c r="N35" s="13"/>
      <c r="O35" s="13"/>
      <c r="P35" s="13"/>
      <c r="Q35" s="13"/>
      <c r="R35" s="13"/>
      <c r="S35" s="9"/>
    </row>
    <row r="36" spans="1:19" x14ac:dyDescent="0.25">
      <c r="A36" s="8"/>
      <c r="B36" s="13"/>
      <c r="C36" s="13"/>
      <c r="D36" s="13"/>
      <c r="E36" s="13"/>
      <c r="F36" s="13"/>
      <c r="G36" s="13"/>
      <c r="H36" s="13"/>
      <c r="I36" s="13"/>
      <c r="J36" s="13"/>
      <c r="K36" s="13"/>
      <c r="L36" s="13"/>
      <c r="M36" s="13"/>
      <c r="N36" s="13"/>
      <c r="O36" s="13"/>
      <c r="P36" s="13"/>
      <c r="Q36" s="13"/>
      <c r="R36" s="13"/>
      <c r="S36" s="9"/>
    </row>
    <row r="37" spans="1:19" x14ac:dyDescent="0.25">
      <c r="A37" s="8"/>
      <c r="B37" s="13"/>
      <c r="C37" s="13"/>
      <c r="D37" s="13"/>
      <c r="E37" s="13"/>
      <c r="F37" s="13"/>
      <c r="G37" s="13"/>
      <c r="H37" s="13"/>
      <c r="I37" s="13"/>
      <c r="J37" s="13"/>
      <c r="K37" s="13"/>
      <c r="L37" s="13"/>
      <c r="M37" s="13"/>
      <c r="N37" s="13"/>
      <c r="O37" s="13"/>
      <c r="P37" s="13"/>
      <c r="Q37" s="13"/>
      <c r="R37" s="13"/>
      <c r="S37" s="9"/>
    </row>
    <row r="38" spans="1:19" x14ac:dyDescent="0.25">
      <c r="A38" s="8"/>
      <c r="B38" s="13"/>
      <c r="C38" s="13"/>
      <c r="D38" s="13"/>
      <c r="E38" s="13"/>
      <c r="F38" s="13"/>
      <c r="G38" s="13"/>
      <c r="H38" s="13"/>
      <c r="I38" s="13"/>
      <c r="J38" s="13"/>
      <c r="K38" s="13"/>
      <c r="L38" s="13"/>
      <c r="M38" s="13"/>
      <c r="N38" s="13"/>
      <c r="O38" s="13"/>
      <c r="P38" s="13"/>
      <c r="Q38" s="13"/>
      <c r="R38" s="13"/>
      <c r="S38" s="9"/>
    </row>
    <row r="39" spans="1:19" x14ac:dyDescent="0.25">
      <c r="A39" s="8"/>
      <c r="B39" s="13"/>
      <c r="C39" s="13"/>
      <c r="D39" s="13"/>
      <c r="E39" s="13"/>
      <c r="F39" s="13"/>
      <c r="G39" s="13"/>
      <c r="H39" s="13"/>
      <c r="I39" s="13"/>
      <c r="J39" s="13"/>
      <c r="K39" s="13"/>
      <c r="L39" s="13"/>
      <c r="M39" s="13"/>
      <c r="N39" s="13"/>
      <c r="O39" s="13"/>
      <c r="P39" s="13"/>
      <c r="Q39" s="13"/>
      <c r="R39" s="13"/>
      <c r="S39" s="9"/>
    </row>
    <row r="40" spans="1:19" x14ac:dyDescent="0.25">
      <c r="A40" s="8"/>
      <c r="B40" s="13"/>
      <c r="C40" s="13"/>
      <c r="D40" s="13"/>
      <c r="E40" s="13"/>
      <c r="F40" s="13"/>
      <c r="G40" s="13"/>
      <c r="H40" s="13"/>
      <c r="I40" s="13"/>
      <c r="J40" s="13"/>
      <c r="K40" s="13"/>
      <c r="L40" s="13"/>
      <c r="M40" s="13"/>
      <c r="N40" s="13"/>
      <c r="O40" s="13"/>
      <c r="P40" s="13"/>
      <c r="Q40" s="13"/>
      <c r="R40" s="13"/>
      <c r="S40" s="9"/>
    </row>
    <row r="41" spans="1:19" x14ac:dyDescent="0.25">
      <c r="A41" s="8"/>
      <c r="B41" s="13"/>
      <c r="C41" s="13"/>
      <c r="D41" s="13"/>
      <c r="E41" s="13"/>
      <c r="F41" s="13"/>
      <c r="G41" s="13"/>
      <c r="H41" s="13"/>
      <c r="I41" s="13"/>
      <c r="J41" s="13"/>
      <c r="K41" s="13"/>
      <c r="L41" s="13"/>
      <c r="M41" s="13"/>
      <c r="N41" s="13"/>
      <c r="O41" s="13"/>
      <c r="P41" s="13"/>
      <c r="Q41" s="13"/>
      <c r="R41" s="13"/>
      <c r="S41" s="9"/>
    </row>
    <row r="42" spans="1:19" x14ac:dyDescent="0.25">
      <c r="A42" s="8"/>
      <c r="B42" s="13"/>
      <c r="C42" s="13"/>
      <c r="D42" s="13"/>
      <c r="E42" s="13"/>
      <c r="F42" s="13"/>
      <c r="G42" s="13"/>
      <c r="H42" s="13"/>
      <c r="I42" s="13"/>
      <c r="J42" s="13"/>
      <c r="K42" s="13"/>
      <c r="L42" s="13"/>
      <c r="M42" s="13"/>
      <c r="N42" s="13"/>
      <c r="O42" s="13"/>
      <c r="P42" s="13"/>
      <c r="Q42" s="13"/>
      <c r="R42" s="13"/>
      <c r="S42" s="9"/>
    </row>
    <row r="43" spans="1:19" x14ac:dyDescent="0.25">
      <c r="A43" s="8"/>
      <c r="B43" s="13"/>
      <c r="C43" s="13"/>
      <c r="D43" s="13"/>
      <c r="E43" s="13"/>
      <c r="F43" s="13"/>
      <c r="G43" s="13"/>
      <c r="H43" s="13"/>
      <c r="I43" s="13"/>
      <c r="J43" s="13"/>
      <c r="K43" s="13"/>
      <c r="L43" s="13"/>
      <c r="M43" s="13"/>
      <c r="N43" s="13"/>
      <c r="O43" s="13"/>
      <c r="P43" s="13"/>
      <c r="Q43" s="13"/>
      <c r="R43" s="13"/>
      <c r="S43" s="9"/>
    </row>
    <row r="44" spans="1:19" x14ac:dyDescent="0.25">
      <c r="A44" s="8"/>
      <c r="B44" s="13"/>
      <c r="C44" s="13"/>
      <c r="D44" s="13"/>
      <c r="E44" s="13"/>
      <c r="F44" s="13"/>
      <c r="G44" s="13"/>
      <c r="H44" s="13"/>
      <c r="I44" s="13"/>
      <c r="J44" s="13"/>
      <c r="K44" s="13"/>
      <c r="L44" s="13"/>
      <c r="M44" s="13"/>
      <c r="N44" s="13"/>
      <c r="O44" s="13"/>
      <c r="P44" s="13"/>
      <c r="Q44" s="13"/>
      <c r="R44" s="13"/>
      <c r="S44" s="9"/>
    </row>
    <row r="45" spans="1:19" x14ac:dyDescent="0.25">
      <c r="A45" s="8"/>
      <c r="B45" s="13"/>
      <c r="C45" s="13"/>
      <c r="D45" s="13"/>
      <c r="E45" s="13"/>
      <c r="F45" s="13"/>
      <c r="G45" s="13"/>
      <c r="H45" s="13"/>
      <c r="I45" s="13"/>
      <c r="J45" s="13"/>
      <c r="K45" s="13"/>
      <c r="L45" s="13"/>
      <c r="M45" s="13"/>
      <c r="N45" s="13"/>
      <c r="O45" s="13"/>
      <c r="P45" s="13"/>
      <c r="Q45" s="13"/>
      <c r="R45" s="13"/>
      <c r="S45" s="9"/>
    </row>
    <row r="46" spans="1:19" x14ac:dyDescent="0.25">
      <c r="A46" s="8"/>
      <c r="B46" s="13"/>
      <c r="C46" s="13"/>
      <c r="D46" s="13"/>
      <c r="E46" s="13"/>
      <c r="F46" s="13"/>
      <c r="G46" s="13"/>
      <c r="H46" s="13"/>
      <c r="I46" s="13"/>
      <c r="J46" s="13"/>
      <c r="K46" s="13"/>
      <c r="L46" s="13"/>
      <c r="M46" s="13"/>
      <c r="N46" s="13"/>
      <c r="O46" s="13"/>
      <c r="P46" s="13"/>
      <c r="Q46" s="13"/>
      <c r="R46" s="13"/>
      <c r="S46" s="9"/>
    </row>
    <row r="47" spans="1:19" x14ac:dyDescent="0.25">
      <c r="A47" s="8"/>
      <c r="B47" s="13"/>
      <c r="C47" s="13"/>
      <c r="D47" s="13"/>
      <c r="E47" s="13"/>
      <c r="F47" s="13"/>
      <c r="G47" s="13"/>
      <c r="H47" s="13"/>
      <c r="I47" s="13"/>
      <c r="J47" s="13"/>
      <c r="K47" s="13"/>
      <c r="L47" s="13"/>
      <c r="M47" s="13"/>
      <c r="N47" s="13"/>
      <c r="O47" s="13"/>
      <c r="P47" s="13"/>
      <c r="Q47" s="13"/>
      <c r="R47" s="13"/>
      <c r="S47" s="9"/>
    </row>
    <row r="48" spans="1:19" x14ac:dyDescent="0.25">
      <c r="A48" s="8"/>
      <c r="B48" s="13"/>
      <c r="C48" s="13"/>
      <c r="D48" s="13"/>
      <c r="E48" s="13"/>
      <c r="F48" s="13"/>
      <c r="G48" s="13"/>
      <c r="H48" s="13"/>
      <c r="I48" s="13"/>
      <c r="J48" s="13"/>
      <c r="K48" s="13"/>
      <c r="L48" s="13"/>
      <c r="M48" s="13"/>
      <c r="N48" s="13"/>
      <c r="O48" s="13"/>
      <c r="P48" s="13"/>
      <c r="Q48" s="13"/>
      <c r="R48" s="13"/>
      <c r="S48" s="9"/>
    </row>
    <row r="49" spans="1:19" x14ac:dyDescent="0.25">
      <c r="A49" s="8"/>
      <c r="B49" s="13"/>
      <c r="C49" s="13"/>
      <c r="D49" s="13"/>
      <c r="E49" s="13"/>
      <c r="F49" s="13"/>
      <c r="G49" s="13"/>
      <c r="H49" s="13"/>
      <c r="I49" s="13"/>
      <c r="J49" s="13"/>
      <c r="K49" s="13"/>
      <c r="L49" s="13"/>
      <c r="M49" s="13"/>
      <c r="N49" s="13"/>
      <c r="O49" s="13"/>
      <c r="P49" s="13"/>
      <c r="Q49" s="13"/>
      <c r="R49" s="13"/>
      <c r="S49" s="9"/>
    </row>
    <row r="50" spans="1:19" x14ac:dyDescent="0.25">
      <c r="A50" s="8"/>
      <c r="B50" s="13"/>
      <c r="C50" s="13"/>
      <c r="D50" s="13"/>
      <c r="E50" s="13"/>
      <c r="F50" s="13"/>
      <c r="G50" s="13"/>
      <c r="H50" s="13"/>
      <c r="I50" s="13"/>
      <c r="J50" s="13"/>
      <c r="K50" s="13"/>
      <c r="L50" s="13"/>
      <c r="M50" s="13"/>
      <c r="N50" s="13"/>
      <c r="O50" s="13"/>
      <c r="P50" s="13"/>
      <c r="Q50" s="13"/>
      <c r="R50" s="13"/>
      <c r="S50" s="9"/>
    </row>
    <row r="51" spans="1:19" x14ac:dyDescent="0.25">
      <c r="A51" s="8"/>
      <c r="B51" s="13"/>
      <c r="C51" s="13"/>
      <c r="D51" s="13"/>
      <c r="E51" s="13"/>
      <c r="F51" s="13"/>
      <c r="G51" s="13"/>
      <c r="H51" s="13"/>
      <c r="I51" s="13"/>
      <c r="J51" s="13"/>
      <c r="K51" s="13"/>
      <c r="L51" s="13"/>
      <c r="M51" s="13"/>
      <c r="N51" s="13"/>
      <c r="O51" s="13"/>
      <c r="P51" s="13"/>
      <c r="Q51" s="13"/>
      <c r="R51" s="13"/>
      <c r="S51" s="9"/>
    </row>
    <row r="52" spans="1:19" x14ac:dyDescent="0.25">
      <c r="A52" s="8"/>
      <c r="B52" s="13"/>
      <c r="C52" s="13"/>
      <c r="D52" s="13"/>
      <c r="E52" s="13"/>
      <c r="F52" s="13"/>
      <c r="G52" s="13"/>
      <c r="H52" s="13"/>
      <c r="I52" s="13"/>
      <c r="J52" s="13"/>
      <c r="K52" s="13"/>
      <c r="L52" s="13"/>
      <c r="M52" s="13"/>
      <c r="N52" s="13"/>
      <c r="O52" s="13"/>
      <c r="P52" s="13"/>
      <c r="Q52" s="13"/>
      <c r="R52" s="13"/>
      <c r="S52" s="9"/>
    </row>
    <row r="53" spans="1:19" x14ac:dyDescent="0.25">
      <c r="A53" s="8"/>
      <c r="B53" s="13"/>
      <c r="C53" s="13"/>
      <c r="D53" s="13"/>
      <c r="E53" s="13"/>
      <c r="F53" s="13"/>
      <c r="G53" s="13"/>
      <c r="H53" s="13"/>
      <c r="I53" s="13"/>
      <c r="J53" s="13"/>
      <c r="K53" s="13"/>
      <c r="L53" s="13"/>
      <c r="M53" s="13"/>
      <c r="N53" s="13"/>
      <c r="O53" s="13"/>
      <c r="P53" s="13"/>
      <c r="Q53" s="13"/>
      <c r="R53" s="13"/>
      <c r="S53" s="9"/>
    </row>
    <row r="54" spans="1:19" x14ac:dyDescent="0.25">
      <c r="A54" s="8"/>
      <c r="B54" s="13"/>
      <c r="C54" s="13"/>
      <c r="D54" s="13"/>
      <c r="E54" s="13"/>
      <c r="F54" s="13"/>
      <c r="G54" s="13"/>
      <c r="H54" s="13"/>
      <c r="I54" s="13"/>
      <c r="J54" s="13"/>
      <c r="K54" s="13"/>
      <c r="L54" s="13"/>
      <c r="M54" s="13"/>
      <c r="N54" s="13"/>
      <c r="O54" s="13"/>
      <c r="P54" s="13"/>
      <c r="Q54" s="13"/>
      <c r="R54" s="13"/>
      <c r="S54" s="9"/>
    </row>
    <row r="55" spans="1:19" x14ac:dyDescent="0.25">
      <c r="A55" s="8"/>
      <c r="B55" s="13"/>
      <c r="C55" s="13"/>
      <c r="D55" s="13"/>
      <c r="E55" s="13"/>
      <c r="F55" s="13"/>
      <c r="G55" s="13"/>
      <c r="H55" s="13"/>
      <c r="I55" s="13"/>
      <c r="J55" s="13"/>
      <c r="K55" s="13"/>
      <c r="L55" s="13"/>
      <c r="M55" s="13"/>
      <c r="N55" s="13"/>
      <c r="O55" s="13"/>
      <c r="P55" s="13"/>
      <c r="Q55" s="13"/>
      <c r="R55" s="13"/>
      <c r="S55" s="9"/>
    </row>
    <row r="56" spans="1:19" x14ac:dyDescent="0.25">
      <c r="A56" s="8"/>
      <c r="B56" s="13"/>
      <c r="C56" s="13"/>
      <c r="D56" s="13"/>
      <c r="E56" s="13"/>
      <c r="F56" s="13"/>
      <c r="G56" s="13"/>
      <c r="H56" s="13"/>
      <c r="I56" s="13"/>
      <c r="J56" s="13"/>
      <c r="K56" s="13"/>
      <c r="L56" s="13"/>
      <c r="M56" s="13"/>
      <c r="N56" s="13"/>
      <c r="O56" s="13"/>
      <c r="P56" s="13"/>
      <c r="Q56" s="13"/>
      <c r="R56" s="13"/>
      <c r="S56" s="9"/>
    </row>
    <row r="57" spans="1:19" x14ac:dyDescent="0.25">
      <c r="A57" s="8"/>
      <c r="B57" s="13"/>
      <c r="C57" s="13"/>
      <c r="D57" s="13"/>
      <c r="E57" s="13"/>
      <c r="F57" s="13"/>
      <c r="G57" s="13"/>
      <c r="H57" s="13"/>
      <c r="I57" s="13"/>
      <c r="J57" s="13"/>
      <c r="K57" s="13"/>
      <c r="L57" s="13"/>
      <c r="M57" s="13"/>
      <c r="N57" s="13"/>
      <c r="O57" s="13"/>
      <c r="P57" s="13"/>
      <c r="Q57" s="13"/>
      <c r="R57" s="13"/>
      <c r="S57" s="9"/>
    </row>
    <row r="58" spans="1:19" x14ac:dyDescent="0.25">
      <c r="A58" s="8"/>
      <c r="B58" s="13"/>
      <c r="C58" s="13"/>
      <c r="D58" s="13"/>
      <c r="E58" s="13"/>
      <c r="F58" s="13"/>
      <c r="G58" s="13"/>
      <c r="H58" s="13"/>
      <c r="I58" s="13"/>
      <c r="J58" s="13"/>
      <c r="K58" s="13"/>
      <c r="L58" s="13"/>
      <c r="M58" s="13"/>
      <c r="N58" s="13"/>
      <c r="O58" s="13"/>
      <c r="P58" s="13"/>
      <c r="Q58" s="13"/>
      <c r="R58" s="13"/>
      <c r="S58" s="9"/>
    </row>
    <row r="59" spans="1:19" x14ac:dyDescent="0.25">
      <c r="A59" s="8"/>
      <c r="B59" s="13"/>
      <c r="C59" s="13"/>
      <c r="D59" s="13"/>
      <c r="E59" s="13"/>
      <c r="F59" s="13"/>
      <c r="G59" s="13"/>
      <c r="H59" s="13"/>
      <c r="I59" s="13"/>
      <c r="J59" s="13"/>
      <c r="K59" s="13"/>
      <c r="L59" s="13"/>
      <c r="M59" s="13"/>
      <c r="N59" s="13"/>
      <c r="O59" s="13"/>
      <c r="P59" s="13"/>
      <c r="Q59" s="13"/>
      <c r="R59" s="13"/>
      <c r="S59" s="9"/>
    </row>
    <row r="60" spans="1:19" x14ac:dyDescent="0.25">
      <c r="A60" s="8"/>
      <c r="B60" s="13"/>
      <c r="C60" s="13"/>
      <c r="D60" s="13"/>
      <c r="E60" s="13"/>
      <c r="F60" s="13"/>
      <c r="G60" s="13"/>
      <c r="H60" s="13"/>
      <c r="I60" s="13"/>
      <c r="J60" s="13"/>
      <c r="K60" s="13"/>
      <c r="L60" s="13"/>
      <c r="M60" s="13"/>
      <c r="N60" s="13"/>
      <c r="O60" s="13"/>
      <c r="P60" s="13"/>
      <c r="Q60" s="13"/>
      <c r="R60" s="13"/>
      <c r="S60" s="9"/>
    </row>
    <row r="61" spans="1:19" x14ac:dyDescent="0.25">
      <c r="A61" s="8"/>
      <c r="B61" s="13"/>
      <c r="C61" s="13"/>
      <c r="D61" s="13"/>
      <c r="E61" s="13"/>
      <c r="F61" s="13"/>
      <c r="G61" s="13"/>
      <c r="H61" s="13"/>
      <c r="I61" s="13"/>
      <c r="J61" s="13"/>
      <c r="K61" s="13"/>
      <c r="L61" s="13"/>
      <c r="M61" s="13"/>
      <c r="N61" s="13"/>
      <c r="O61" s="13"/>
      <c r="P61" s="13"/>
      <c r="Q61" s="13"/>
      <c r="R61" s="13"/>
      <c r="S61" s="9"/>
    </row>
    <row r="62" spans="1:19" x14ac:dyDescent="0.25">
      <c r="A62" s="8"/>
      <c r="B62" s="13"/>
      <c r="C62" s="13"/>
      <c r="D62" s="13"/>
      <c r="E62" s="13"/>
      <c r="F62" s="13"/>
      <c r="G62" s="13"/>
      <c r="H62" s="13"/>
      <c r="I62" s="13"/>
      <c r="J62" s="13"/>
      <c r="K62" s="13"/>
      <c r="L62" s="13"/>
      <c r="M62" s="13"/>
      <c r="N62" s="13"/>
      <c r="O62" s="13"/>
      <c r="P62" s="13"/>
      <c r="Q62" s="13"/>
      <c r="R62" s="13"/>
      <c r="S62" s="9"/>
    </row>
    <row r="63" spans="1:19" x14ac:dyDescent="0.25">
      <c r="A63" s="8"/>
      <c r="B63" s="13"/>
      <c r="C63" s="13"/>
      <c r="D63" s="13"/>
      <c r="E63" s="13"/>
      <c r="F63" s="13"/>
      <c r="G63" s="13"/>
      <c r="H63" s="13"/>
      <c r="I63" s="13"/>
      <c r="J63" s="13"/>
      <c r="K63" s="13"/>
      <c r="L63" s="13"/>
      <c r="M63" s="13"/>
      <c r="N63" s="13"/>
      <c r="O63" s="13"/>
      <c r="P63" s="13"/>
      <c r="Q63" s="13"/>
      <c r="R63" s="13"/>
      <c r="S63" s="9"/>
    </row>
    <row r="64" spans="1:19" x14ac:dyDescent="0.25">
      <c r="A64" s="8"/>
      <c r="B64" s="13"/>
      <c r="C64" s="13"/>
      <c r="D64" s="13"/>
      <c r="E64" s="13"/>
      <c r="F64" s="13"/>
      <c r="G64" s="13"/>
      <c r="H64" s="13"/>
      <c r="I64" s="13"/>
      <c r="J64" s="13"/>
      <c r="K64" s="13"/>
      <c r="L64" s="13"/>
      <c r="M64" s="13"/>
      <c r="N64" s="13"/>
      <c r="O64" s="13"/>
      <c r="P64" s="13"/>
      <c r="Q64" s="13"/>
      <c r="R64" s="13"/>
      <c r="S64" s="9"/>
    </row>
    <row r="65" spans="1:19" x14ac:dyDescent="0.25">
      <c r="A65" s="8"/>
      <c r="B65" s="13"/>
      <c r="C65" s="13"/>
      <c r="D65" s="13"/>
      <c r="E65" s="13"/>
      <c r="F65" s="13"/>
      <c r="G65" s="13"/>
      <c r="H65" s="13"/>
      <c r="I65" s="13"/>
      <c r="J65" s="13"/>
      <c r="K65" s="13"/>
      <c r="L65" s="13"/>
      <c r="M65" s="13"/>
      <c r="N65" s="13"/>
      <c r="O65" s="13"/>
      <c r="P65" s="13"/>
      <c r="Q65" s="13"/>
      <c r="R65" s="13"/>
      <c r="S65" s="9"/>
    </row>
    <row r="66" spans="1:19" x14ac:dyDescent="0.25">
      <c r="A66" s="8"/>
      <c r="B66" s="13"/>
      <c r="C66" s="13"/>
      <c r="D66" s="13"/>
      <c r="E66" s="13"/>
      <c r="F66" s="13"/>
      <c r="G66" s="13"/>
      <c r="H66" s="13"/>
      <c r="I66" s="13"/>
      <c r="J66" s="13"/>
      <c r="K66" s="13"/>
      <c r="L66" s="13"/>
      <c r="M66" s="13"/>
      <c r="N66" s="13"/>
      <c r="O66" s="13"/>
      <c r="P66" s="13"/>
      <c r="Q66" s="13"/>
      <c r="R66" s="13"/>
      <c r="S66" s="9"/>
    </row>
    <row r="67" spans="1:19" x14ac:dyDescent="0.25">
      <c r="A67" s="10"/>
      <c r="B67" s="14"/>
      <c r="C67" s="14"/>
      <c r="D67" s="14"/>
      <c r="E67" s="14"/>
      <c r="F67" s="14"/>
      <c r="G67" s="14"/>
      <c r="H67" s="14"/>
      <c r="I67" s="14"/>
      <c r="J67" s="14"/>
      <c r="K67" s="14"/>
      <c r="L67" s="14"/>
      <c r="M67" s="14"/>
      <c r="N67" s="14"/>
      <c r="O67" s="14"/>
      <c r="P67" s="14"/>
      <c r="Q67" s="14"/>
      <c r="R67" s="14"/>
      <c r="S67" s="11"/>
    </row>
  </sheetData>
  <mergeCells count="1">
    <mergeCell ref="A1:S4"/>
  </mergeCells>
  <pageMargins left="0.70866141732283472" right="0.70866141732283472" top="0.74803149606299213" bottom="0.74803149606299213" header="0.31496062992125984" footer="0.31496062992125984"/>
  <pageSetup paperSize="9" scale="5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Penjualan Dimsum</vt:lpstr>
      <vt:lpstr>Pivot Table</vt:lpstr>
      <vt:lpstr>VLOOKUP</vt:lpstr>
      <vt:lpstr>Data Bersih</vt:lpstr>
      <vt:lpstr>Analisis &amp; Forecasting</vt:lpstr>
      <vt:lpstr>Beautifiying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RAFLI ADHAN S</cp:lastModifiedBy>
  <cp:lastPrinted>2026-02-14T05:36:26Z</cp:lastPrinted>
  <dcterms:created xsi:type="dcterms:W3CDTF">2026-02-10T10:19:14Z</dcterms:created>
  <dcterms:modified xsi:type="dcterms:W3CDTF">2026-02-14T05:42:28Z</dcterms:modified>
</cp:coreProperties>
</file>